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myweb\data\"/>
    </mc:Choice>
  </mc:AlternateContent>
  <bookViews>
    <workbookView xWindow="0" yWindow="0" windowWidth="2160" windowHeight="0" firstSheet="4" activeTab="5"/>
  </bookViews>
  <sheets>
    <sheet name="2020" sheetId="2" state="hidden" r:id="rId1"/>
    <sheet name="2021" sheetId="1" state="hidden" r:id="rId2"/>
    <sheet name="2022" sheetId="3" state="hidden" r:id="rId3"/>
    <sheet name="2023" sheetId="4" state="hidden" r:id="rId4"/>
    <sheet name="2024" sheetId="5" r:id="rId5"/>
    <sheet name="2025" sheetId="7" r:id="rId6"/>
    <sheet name="人工" sheetId="10" r:id="rId7"/>
    <sheet name="水电材料" sheetId="13" r:id="rId8"/>
    <sheet name="维保费" sheetId="11" r:id="rId9"/>
    <sheet name="安全费" sheetId="12" r:id="rId10"/>
  </sheets>
  <definedNames>
    <definedName name="_xlnm._FilterDatabase" localSheetId="5" hidden="1">'2025'!$B$1:$B$114</definedName>
  </definedNames>
  <calcPr calcId="162913"/>
</workbook>
</file>

<file path=xl/calcChain.xml><?xml version="1.0" encoding="utf-8"?>
<calcChain xmlns="http://schemas.openxmlformats.org/spreadsheetml/2006/main">
  <c r="C111" i="7" l="1"/>
  <c r="C109" i="7"/>
  <c r="C107" i="7"/>
  <c r="C105" i="7"/>
  <c r="B13" i="13"/>
  <c r="B25" i="11"/>
  <c r="B13" i="12"/>
  <c r="B7" i="10"/>
  <c r="D7" i="2"/>
  <c r="D9" i="2"/>
  <c r="C106" i="7"/>
  <c r="C108" i="7"/>
  <c r="C110" i="7"/>
  <c r="C112" i="7"/>
  <c r="C114" i="7"/>
</calcChain>
</file>

<file path=xl/sharedStrings.xml><?xml version="1.0" encoding="utf-8"?>
<sst xmlns="http://schemas.openxmlformats.org/spreadsheetml/2006/main" count="1049" uniqueCount="757">
  <si>
    <t>2020年物业支出</t>
  </si>
  <si>
    <t>月份</t>
  </si>
  <si>
    <t>项目</t>
  </si>
  <si>
    <t>金额（元）</t>
  </si>
  <si>
    <t>单月合计（元）</t>
  </si>
  <si>
    <t>一月</t>
  </si>
  <si>
    <t>一号楼加装防风幕帘</t>
  </si>
  <si>
    <t>高低配设备维护</t>
  </si>
  <si>
    <t>餐梯年检费</t>
  </si>
  <si>
    <t>风管支撑架维修</t>
  </si>
  <si>
    <t>二月</t>
  </si>
  <si>
    <t>隔油设备采购到货款</t>
  </si>
  <si>
    <t>2019年10月10日-2020年1月10日保安服务费</t>
  </si>
  <si>
    <t>三月</t>
  </si>
  <si>
    <t>电动遥控浮球阀采购</t>
  </si>
  <si>
    <t>2019年11月20日-2020年2月20日保洁服务及物耗费用</t>
  </si>
  <si>
    <t>2019年10月25日-2020年1月25日礼仪接待服务费</t>
  </si>
  <si>
    <t>2019年4月至2020年4月滨江大楼电梯维保尾款</t>
  </si>
  <si>
    <t>燃气报警设备维修</t>
  </si>
  <si>
    <t>园区北门伸缩门维修</t>
  </si>
  <si>
    <t>停车系统维修费</t>
  </si>
  <si>
    <t>地下室隔油机房水电改造</t>
  </si>
  <si>
    <t>安全宣传费</t>
  </si>
  <si>
    <t>四月</t>
  </si>
  <si>
    <t>2019年10月-2020年4月绿化养护服务费</t>
  </si>
  <si>
    <t>绝缘鞋采购</t>
  </si>
  <si>
    <t>2019年12月至2020年3月锁具零星维修</t>
  </si>
  <si>
    <t>园区景观改造</t>
  </si>
  <si>
    <t>公司园区1-3月零星维修</t>
  </si>
  <si>
    <t>更换消防水箱液位浮球</t>
  </si>
  <si>
    <t>消防设施设备维修费</t>
  </si>
  <si>
    <t>2020年1月10日-4月10日保安服务费</t>
  </si>
  <si>
    <t>2019-2020年消防联网运营服务费</t>
  </si>
  <si>
    <t>2107办公室加装窗帘</t>
  </si>
  <si>
    <t>2019年10月-2020年4月虫控消杀服务费</t>
  </si>
  <si>
    <t>五月</t>
  </si>
  <si>
    <t>2020年春季园区绿化补种费用</t>
  </si>
  <si>
    <t>2019年12月-2020年4月建筑垃圾清运处置费</t>
  </si>
  <si>
    <t>2020年1-4月水电五金材料采购</t>
  </si>
  <si>
    <t>出版组加装遮光窗帘</t>
  </si>
  <si>
    <t xml:space="preserve">2020年2月20-2020年5月20日保洁服务及物耗费用
</t>
  </si>
  <si>
    <t xml:space="preserve">2020年1月25日-2020年4月25日第三期礼仪接待服务费
</t>
  </si>
  <si>
    <t>疫情门岗服务费</t>
  </si>
  <si>
    <t>六月</t>
  </si>
  <si>
    <t>BA楼宇智控维修费</t>
  </si>
  <si>
    <t xml:space="preserve">2019年-2020年中央空调冷水机组维修保养首付款
</t>
  </si>
  <si>
    <t>锁具零星维修费（2020.5月-6月）</t>
  </si>
  <si>
    <t>大关小区集体宿舍及庆春路宏盛公寓自来水管维修费</t>
  </si>
  <si>
    <t>空调室外机导风罩制作安装费</t>
  </si>
  <si>
    <t>消防报警设备及监控系统维修保养费（2019.6.1-2020.5.31）</t>
  </si>
  <si>
    <t>气消控制盘及水泵控制柜等维修费3498元</t>
  </si>
  <si>
    <t>浙江公司产业园中央空调水泵维修</t>
  </si>
  <si>
    <t>七月</t>
  </si>
  <si>
    <t>安全教育及宣传费</t>
  </si>
  <si>
    <t>浙江公司产业园空调系统维修保养</t>
  </si>
  <si>
    <t>浙江公司产业园2020年中央空调系统维修改造</t>
  </si>
  <si>
    <t>浙江产业园中央空调水泵维修</t>
  </si>
  <si>
    <t xml:space="preserve"> UPS机房双电源投切改造（预付款50%）</t>
  </si>
  <si>
    <t>送风机维修</t>
  </si>
  <si>
    <t>二号楼专用取电开关</t>
  </si>
  <si>
    <t>2020年4月10日-7月10日保安服务费</t>
  </si>
  <si>
    <t>锁具零星维修费（2020.7月）</t>
  </si>
  <si>
    <t>领导人员办公室面积优化改造</t>
  </si>
  <si>
    <t>八月</t>
  </si>
  <si>
    <t>男厕卫生间维修美标小便斗排水管弯头</t>
  </si>
  <si>
    <t>餐厅下水道维修</t>
  </si>
  <si>
    <t>中央空调水系统维修保养</t>
  </si>
  <si>
    <t>公司采购饮水机水壶养生壶</t>
  </si>
  <si>
    <t xml:space="preserve">   UPS机房双电源投切改造尾款</t>
  </si>
  <si>
    <t xml:space="preserve"> 高低配设备检测</t>
  </si>
  <si>
    <t>浙江公司产业园外立面空鼓修复</t>
  </si>
  <si>
    <t>华信设计院信息机房精密空调雾化喷淋改造项目</t>
  </si>
  <si>
    <t xml:space="preserve">   报告厅空调系统维修</t>
  </si>
  <si>
    <t>消防设施维修</t>
  </si>
  <si>
    <t>高压柜微机保护装置维修</t>
  </si>
  <si>
    <t>九月</t>
  </si>
  <si>
    <t>电梯维保费2020.4 - 2020.8（第一期）</t>
  </si>
  <si>
    <t>大关小区4幢3单元302室内维修费</t>
  </si>
  <si>
    <t>德胜新村23幢2单元502室维修费</t>
  </si>
  <si>
    <t>大关小区4幢3单元601室内维修费</t>
  </si>
  <si>
    <t>大关小区4幢2单元601室内维修费</t>
  </si>
  <si>
    <t>大关小区4幢2单元502室内维修费</t>
  </si>
  <si>
    <t>德胜新村60幢1单元102室维修费</t>
  </si>
  <si>
    <t>华信设计4-7月零星维修费</t>
  </si>
  <si>
    <t>中央空调水系统2019-2020年维保费尾款</t>
  </si>
  <si>
    <t>2020.4-2020.8建筑垃圾清运费</t>
  </si>
  <si>
    <t>2020年5-9月份水电五金耗材费</t>
  </si>
  <si>
    <t>防汛抗台物资采购费（安全费）</t>
  </si>
  <si>
    <t>高区生活给水泵维修</t>
  </si>
  <si>
    <t>隔油设备采购验收款</t>
  </si>
  <si>
    <t>华信大楼标识制作费</t>
  </si>
  <si>
    <t>报告厅设备机房空调采购</t>
  </si>
  <si>
    <t>消防通道禁停标线（安全费）</t>
  </si>
  <si>
    <t>加装遮光窗帘</t>
  </si>
  <si>
    <t>昌地水电及停车费对外付款4期（不用统计到月表）</t>
  </si>
  <si>
    <t>绿城保洁及物耗费用2020年5月21日-2020年8月20日</t>
  </si>
  <si>
    <t>第四期前台礼仪服务费2020年4月26日-2020年7月25日</t>
  </si>
  <si>
    <t>十月</t>
  </si>
  <si>
    <t>饮水机维修</t>
  </si>
  <si>
    <t>华信设计8-9月零星维修费</t>
  </si>
  <si>
    <t>水箱清洗服务费</t>
  </si>
  <si>
    <t>锁具零星维修费2020.8月-10月</t>
  </si>
  <si>
    <t>报告厅音箱维修费</t>
  </si>
  <si>
    <t>2020年4月-2020年10月虫控消杀服务费尾款</t>
  </si>
  <si>
    <t>2020.8.20-2021.8.19电力设备智能运维服务第一期维护费</t>
  </si>
  <si>
    <t>安全防护用品</t>
  </si>
  <si>
    <t>2020.9-2020.11建筑垃圾清运费</t>
  </si>
  <si>
    <t>地下车库地面硬化防护施工</t>
  </si>
  <si>
    <r>
      <rPr>
        <sz val="10.5"/>
        <color indexed="8"/>
        <rFont val="宋体"/>
        <charset val="134"/>
      </rPr>
      <t>2020年9-11月份水电五金耗材费</t>
    </r>
    <r>
      <rPr>
        <sz val="10.5"/>
        <color indexed="10"/>
        <rFont val="宋体"/>
        <charset val="134"/>
      </rPr>
      <t>（原件交周宇清录入祥云）</t>
    </r>
  </si>
  <si>
    <t>2020年4月-2020年10月绿化养护服务费</t>
  </si>
  <si>
    <t>浙江公司产业园热空调系统维修维护费</t>
  </si>
  <si>
    <t>2020.10-11月零星施工</t>
  </si>
  <si>
    <t>十二月</t>
  </si>
  <si>
    <t>华信设计2020-2021年度中央空调水系统保养服务（一期维保款）</t>
  </si>
  <si>
    <t>杭州管道燃气非居民用户维保费</t>
  </si>
  <si>
    <t>幕墙玻璃维修及室外机平台改造</t>
  </si>
  <si>
    <t>门禁控制器更换及备用</t>
  </si>
  <si>
    <t>昌地水电及停车费对外付款5期（不用统计到月表）</t>
  </si>
  <si>
    <t>2019年2月至2021年1月生活垃圾清运费用</t>
  </si>
  <si>
    <r>
      <rPr>
        <sz val="10.5"/>
        <color indexed="8"/>
        <rFont val="宋体"/>
        <charset val="134"/>
      </rPr>
      <t>2020年12月份水电五金耗材费</t>
    </r>
    <r>
      <rPr>
        <sz val="10.5"/>
        <color indexed="10"/>
        <rFont val="宋体"/>
        <charset val="134"/>
      </rPr>
      <t>（原件交周宇清录入祥云）</t>
    </r>
  </si>
  <si>
    <t>第五期前台礼仪服务费2020年7月25日-2020年10月24日</t>
  </si>
  <si>
    <t>绿城保洁及物耗费用2020年8月20日-2020年11月19日</t>
  </si>
  <si>
    <t>锁具零星维修费2020.11月-12月</t>
  </si>
  <si>
    <t>2020年7月10日-10月10日保安服务费</t>
  </si>
  <si>
    <r>
      <rPr>
        <sz val="10.5"/>
        <color indexed="8"/>
        <rFont val="宋体"/>
        <charset val="134"/>
      </rPr>
      <t>2020年建筑消防检测费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</si>
  <si>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安全防护用品安全帽及反光背心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</si>
  <si>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消防设施维修更换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</si>
  <si>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报告厅会议设备升级</t>
    </r>
    <r>
      <rPr>
        <sz val="10.5"/>
        <color indexed="10"/>
        <rFont val="宋体"/>
        <charset val="134"/>
      </rPr>
      <t>（资产）</t>
    </r>
  </si>
  <si>
    <t>刘曲报公司2027会议室话筒咪杆</t>
  </si>
  <si>
    <t>合计</t>
  </si>
  <si>
    <t>2021年物业支出</t>
  </si>
  <si>
    <t>5G机房保温工程改造</t>
  </si>
  <si>
    <t>开水器显示屏</t>
  </si>
  <si>
    <r>
      <rPr>
        <sz val="10.5"/>
        <color indexed="8"/>
        <rFont val="宋体"/>
        <charset val="134"/>
      </rPr>
      <t>2021年1月份水电五金耗材费</t>
    </r>
    <r>
      <rPr>
        <sz val="10.5"/>
        <color indexed="10"/>
        <rFont val="宋体"/>
        <charset val="134"/>
      </rPr>
      <t>（原件交周宇清录入祥云）</t>
    </r>
  </si>
  <si>
    <r>
      <rPr>
        <sz val="10.5"/>
        <color indexed="8"/>
        <rFont val="宋体"/>
        <charset val="134"/>
      </rPr>
      <t>消防维护保养服务费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</si>
  <si>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吸粪清运费</t>
    </r>
    <r>
      <rPr>
        <sz val="10.5"/>
        <color indexed="10"/>
        <rFont val="宋体"/>
        <charset val="134"/>
      </rPr>
      <t>（潘伟录)</t>
    </r>
  </si>
  <si>
    <t>（叶雪洪）报昌地火炬大厦西城广场蒋村办公室维修大关漏电保护更换</t>
  </si>
  <si>
    <t>2020年10月10日-2021年1月10日保安服务费</t>
  </si>
  <si>
    <t>室外水箱保温工程</t>
  </si>
  <si>
    <t>锁具零星维修费2021.1月</t>
  </si>
  <si>
    <r>
      <rPr>
        <sz val="10.5"/>
        <color indexed="8"/>
        <rFont val="宋体"/>
        <charset val="134"/>
      </rPr>
      <t>电梯维护费（餐梯）第一期费用</t>
    </r>
    <r>
      <rPr>
        <sz val="10.5"/>
        <color indexed="10"/>
        <rFont val="宋体"/>
        <charset val="134"/>
      </rPr>
      <t>（安全费）</t>
    </r>
  </si>
  <si>
    <t>消防设施维修（安全费）</t>
  </si>
  <si>
    <t>辅楼门锁 刘曲</t>
  </si>
  <si>
    <r>
      <rPr>
        <sz val="10.5"/>
        <color indexed="8"/>
        <rFont val="宋体"/>
        <charset val="134"/>
      </rPr>
      <t>2021年1月1日-2021年2月28日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第7期物业及车位管理费。</t>
    </r>
  </si>
  <si>
    <r>
      <rPr>
        <sz val="10.5"/>
        <color indexed="8"/>
        <rFont val="宋体"/>
        <charset val="134"/>
      </rPr>
      <t>2021年3月份水电五金耗材费</t>
    </r>
    <r>
      <rPr>
        <sz val="10.5"/>
        <color indexed="10"/>
        <rFont val="宋体"/>
        <charset val="134"/>
      </rPr>
      <t>（原件交周宇清录入祥云）</t>
    </r>
  </si>
  <si>
    <t>第六期前台礼仪服务费2020年10月25日-2021年1月24日</t>
  </si>
  <si>
    <t>绿城保洁及物耗费用2020年11月20日-2021年2月19日</t>
  </si>
  <si>
    <t>锁具零星维修费2021.2月-3月</t>
  </si>
  <si>
    <r>
      <rPr>
        <sz val="10.5"/>
        <color indexed="8"/>
        <rFont val="宋体"/>
        <charset val="134"/>
      </rPr>
      <t>化粪清运费</t>
    </r>
    <r>
      <rPr>
        <sz val="10.5"/>
        <color indexed="10"/>
        <rFont val="宋体"/>
        <charset val="134"/>
      </rPr>
      <t>（潘伟录)</t>
    </r>
  </si>
  <si>
    <t>隔油设备维修费</t>
  </si>
  <si>
    <t>2020年11月-2021年3月绿化养护费</t>
  </si>
  <si>
    <t>食堂下水道疏通</t>
  </si>
  <si>
    <r>
      <rPr>
        <sz val="10.5"/>
        <color indexed="8"/>
        <rFont val="宋体"/>
        <charset val="134"/>
      </rPr>
      <t>2021年4月份水电五金耗材费</t>
    </r>
    <r>
      <rPr>
        <sz val="10.5"/>
        <color indexed="10"/>
        <rFont val="宋体"/>
        <charset val="134"/>
      </rPr>
      <t>（原件交周宇清录入祥云）</t>
    </r>
  </si>
  <si>
    <t>伸缩门维修</t>
  </si>
  <si>
    <t>水质化验费</t>
  </si>
  <si>
    <t>2021.1-4月零星施工</t>
  </si>
  <si>
    <r>
      <rPr>
        <sz val="10.5"/>
        <color indexed="8"/>
        <rFont val="宋体"/>
        <charset val="134"/>
      </rPr>
      <t>消防气体灭火系统检测费</t>
    </r>
    <r>
      <rPr>
        <sz val="10.5"/>
        <color indexed="10"/>
        <rFont val="宋体"/>
        <charset val="134"/>
      </rPr>
      <t>（安全费）</t>
    </r>
  </si>
  <si>
    <t>登高升降机采购预付款（固定资产）</t>
  </si>
  <si>
    <r>
      <rPr>
        <sz val="10.5"/>
        <color indexed="8"/>
        <rFont val="宋体"/>
        <charset val="134"/>
      </rPr>
      <t>2021年5月份水电五金耗材费</t>
    </r>
    <r>
      <rPr>
        <sz val="10.5"/>
        <color indexed="10"/>
        <rFont val="宋体"/>
        <charset val="134"/>
      </rPr>
      <t>（原件交周宇清录入祥云）</t>
    </r>
  </si>
  <si>
    <t>绿城保洁及物耗费用2021年2月20日-2021年5月19日</t>
  </si>
  <si>
    <t>第七期前台礼仪服务费2021年1月25日-2021年4月24日</t>
  </si>
  <si>
    <r>
      <rPr>
        <sz val="10.5"/>
        <color indexed="8"/>
        <rFont val="宋体"/>
        <charset val="134"/>
      </rPr>
      <t>2021年3月1日-2021年4月30日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第8期物业及车位管理费。</t>
    </r>
  </si>
  <si>
    <t>2020年11月-2021年5月首期虫控消杀服务费</t>
  </si>
  <si>
    <t>锁具零星维修费2021.3.29月-5月</t>
  </si>
  <si>
    <t xml:space="preserve">2019年-2020年中央空调冷水机组维修保养尾款
</t>
  </si>
  <si>
    <t xml:space="preserve">2020年-2021年中央空调冷水机组维修保养首付款
</t>
  </si>
  <si>
    <t>2020年11月-2021年3月建筑垃圾清运处置费</t>
  </si>
  <si>
    <t>2021年1月11日-2021年4月10日保安服务费</t>
  </si>
  <si>
    <t>2021.4-5月零星施工</t>
  </si>
  <si>
    <t>2020.10.8-2021.4.7日蒂升第二期电梯维护保养费（安全费）</t>
  </si>
  <si>
    <t>办公环境调节（宏盛公寓空调）</t>
  </si>
  <si>
    <t>山东办事处室内空气检测</t>
  </si>
  <si>
    <t>空调水喷淋维修</t>
  </si>
  <si>
    <t>2021.6月零星施工</t>
  </si>
  <si>
    <t>无线院更名标识制作</t>
  </si>
  <si>
    <r>
      <rPr>
        <sz val="10.5"/>
        <color indexed="8"/>
        <rFont val="宋体"/>
        <charset val="134"/>
      </rPr>
      <t>消防维护保养服务费尾款</t>
    </r>
    <r>
      <rPr>
        <sz val="10.5"/>
        <color indexed="10"/>
        <rFont val="宋体"/>
        <charset val="134"/>
      </rPr>
      <t>（安全费）</t>
    </r>
  </si>
  <si>
    <t>2021年4月11-7月10日保安服务费</t>
  </si>
  <si>
    <r>
      <rPr>
        <sz val="10.5"/>
        <color indexed="8"/>
        <rFont val="宋体"/>
        <charset val="134"/>
      </rPr>
      <t>2021年5月1日-2021年6月30日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第9期物业及车位管理费。</t>
    </r>
  </si>
  <si>
    <t>刘曲报杭州洛克王电子科技有限公司离线式门锁维修更换</t>
  </si>
  <si>
    <t>标牌设计制作2020.10月-2021.7月</t>
  </si>
  <si>
    <t>刘曲报门禁控制器电源</t>
  </si>
  <si>
    <r>
      <rPr>
        <sz val="10.5"/>
        <color indexed="8"/>
        <rFont val="宋体"/>
        <charset val="134"/>
      </rPr>
      <t>2021年7月份水电五金耗材费</t>
    </r>
    <r>
      <rPr>
        <sz val="10.5"/>
        <color indexed="10"/>
        <rFont val="宋体"/>
        <charset val="134"/>
      </rPr>
      <t>（原件交蔡维斌录入祥云）</t>
    </r>
  </si>
  <si>
    <t>锁具零星维修费7月</t>
  </si>
  <si>
    <t>刘曲报会议室吸顶音响维修</t>
  </si>
  <si>
    <t>华信设计2020-2021年度中央空调水系统保养服务（二期维保款）</t>
  </si>
  <si>
    <t>刘曲报更换离线式门锁</t>
  </si>
  <si>
    <t>第八期前台礼仪服务费2021年4月25日-2021年7月24日</t>
  </si>
  <si>
    <t>绿城保洁及物耗费用2021年5月20日-2021年8月19日</t>
  </si>
  <si>
    <t>2020.8.20-2021.8.19电力设备智能运维服务第二期维护费</t>
  </si>
  <si>
    <r>
      <rPr>
        <sz val="10.5"/>
        <color indexed="8"/>
        <rFont val="宋体"/>
        <charset val="134"/>
      </rPr>
      <t>2021年8月份水电五金耗材费</t>
    </r>
    <r>
      <rPr>
        <sz val="10.5"/>
        <color indexed="10"/>
        <rFont val="宋体"/>
        <charset val="134"/>
      </rPr>
      <t>（原件交蔡维斌录入祥云）</t>
    </r>
  </si>
  <si>
    <t>庆春路宏盛公寓排污管修复 叶雪洪报</t>
  </si>
  <si>
    <t>刘曲报监控软件平台通道100个</t>
  </si>
  <si>
    <t>2021.7-8月零星施工</t>
  </si>
  <si>
    <t>二号楼乒乓球馆加装空调两台（固定资产）</t>
  </si>
  <si>
    <r>
      <rPr>
        <sz val="10.5"/>
        <color indexed="8"/>
        <rFont val="宋体"/>
        <charset val="134"/>
      </rPr>
      <t>2021年7月1日-2021年8月31日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第10期物业及车位管理费。</t>
    </r>
  </si>
  <si>
    <t>电梯分流引导标牌制作</t>
  </si>
  <si>
    <t>刘曲报门禁读卡器</t>
  </si>
  <si>
    <t>2021.4.8-2021.10.7日蒂升第一期电梯维护保养费（安全费）</t>
  </si>
  <si>
    <r>
      <rPr>
        <sz val="10.5"/>
        <color indexed="8"/>
        <rFont val="宋体"/>
        <charset val="134"/>
      </rPr>
      <t>2021年9月份水电五金耗材费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</si>
  <si>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刘曲报消防压力表消火栓玻璃箱损坏维修更换</t>
    </r>
    <r>
      <rPr>
        <sz val="10.5"/>
        <color indexed="10"/>
        <rFont val="宋体"/>
        <charset val="134"/>
      </rPr>
      <t>（安全费）</t>
    </r>
  </si>
  <si>
    <t>华信四楼交换机房水喷淋系统维保服务费</t>
  </si>
  <si>
    <t>2021.9月零星施工</t>
  </si>
  <si>
    <t>2021年3月-2021年8月建筑垃圾清运处置费</t>
  </si>
  <si>
    <t>2021年4月-2021年9月绿化养护费</t>
  </si>
  <si>
    <t>广告宣传设计服务费</t>
  </si>
  <si>
    <t>锁具零星维修费2021.8-9月</t>
  </si>
  <si>
    <r>
      <rPr>
        <sz val="10.5"/>
        <color indexed="8"/>
        <rFont val="宋体"/>
        <charset val="134"/>
      </rPr>
      <t>2021年10月份水电五金耗材费</t>
    </r>
    <r>
      <rPr>
        <sz val="10.5"/>
        <color indexed="10"/>
        <rFont val="宋体"/>
        <charset val="134"/>
      </rPr>
      <t>（原件交蔡维斌录入祥云）</t>
    </r>
  </si>
  <si>
    <t>刘曲报信访室新增海康半球摄像头</t>
  </si>
  <si>
    <t>2021年7月11-10月10日保安服务费</t>
  </si>
  <si>
    <t>十一月</t>
  </si>
  <si>
    <t>2021.10月零星施工</t>
  </si>
  <si>
    <t>刘曲报 门禁控制器电源</t>
  </si>
  <si>
    <r>
      <rPr>
        <sz val="10.5"/>
        <color indexed="8"/>
        <rFont val="宋体"/>
        <charset val="134"/>
      </rPr>
      <t>2021年9月1日-2021年10月31日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第11期物业及车位管理费</t>
    </r>
  </si>
  <si>
    <r>
      <rPr>
        <sz val="10.5"/>
        <color indexed="8"/>
        <rFont val="宋体"/>
        <charset val="134"/>
      </rPr>
      <t>2021年11月份水电五金耗材费</t>
    </r>
    <r>
      <rPr>
        <sz val="10.5"/>
        <color indexed="10"/>
        <rFont val="宋体"/>
        <charset val="134"/>
      </rPr>
      <t>（原件交蔡维斌录入祥云）</t>
    </r>
  </si>
  <si>
    <t>2020-2021年消防联网运营服务费</t>
  </si>
  <si>
    <t>第九期前台礼仪服务费2021年7月25日-2021年10月24日</t>
  </si>
  <si>
    <t>绿城保洁及物耗费用2021年8月20日-2021年11月19日</t>
  </si>
  <si>
    <t>2021年2月至2022年1月生活垃圾清运费用</t>
  </si>
  <si>
    <t>华信设计2021-2022年度中央空调水系统保养服务（一期维保款）</t>
  </si>
  <si>
    <t>2020年11月-2021年11月虫控末期消杀服务费</t>
  </si>
  <si>
    <t>室外篮球场地面沉降维修改造</t>
  </si>
  <si>
    <t>刘曲 消防设施维修（安全费）</t>
  </si>
  <si>
    <t>公司外立面发光字维修</t>
  </si>
  <si>
    <t>窗帘加装及维修费</t>
  </si>
  <si>
    <t>锁具零星维修费2021.10.20月-11月</t>
  </si>
  <si>
    <t>2021.11月零星施工</t>
  </si>
  <si>
    <r>
      <rPr>
        <sz val="10.5"/>
        <color indexed="8"/>
        <rFont val="宋体"/>
        <charset val="134"/>
      </rPr>
      <t>2021年12月份水电五金耗材费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</si>
  <si>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2021年10月1日-2021年12月31日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第12期物业及车位管理费</t>
    </r>
  </si>
  <si>
    <t>燃气管道调压器维修</t>
  </si>
  <si>
    <t>2022年物业支出</t>
  </si>
  <si>
    <r>
      <rPr>
        <sz val="10.5"/>
        <color indexed="8"/>
        <rFont val="宋体"/>
        <charset val="134"/>
      </rPr>
      <t>2021年建筑消防检测费</t>
    </r>
    <r>
      <rPr>
        <sz val="10.5"/>
        <color indexed="10"/>
        <rFont val="宋体"/>
        <charset val="134"/>
      </rPr>
      <t>（安全费）</t>
    </r>
  </si>
  <si>
    <t>园区西门伸缩门维修</t>
  </si>
  <si>
    <t>2021.12月零星施工</t>
  </si>
  <si>
    <t>2021年9月-2022年1月建筑垃圾清运处置费</t>
  </si>
  <si>
    <t>一季度会议设备维保费</t>
  </si>
  <si>
    <t>刘曲</t>
  </si>
  <si>
    <r>
      <rPr>
        <sz val="10.5"/>
        <color indexed="8"/>
        <rFont val="宋体"/>
        <charset val="134"/>
      </rPr>
      <t>消防安全设施维修整改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</si>
  <si>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2021.6.1-2021.11.30消防维护保养服务首付款</t>
    </r>
    <r>
      <rPr>
        <sz val="10.5"/>
        <color indexed="10"/>
        <rFont val="宋体"/>
        <charset val="134"/>
      </rPr>
      <t>（安全费）</t>
    </r>
  </si>
  <si>
    <t>锁具零星维修费2022.1月</t>
  </si>
  <si>
    <t>2021年10月11-2022年1月9日保安服务费</t>
  </si>
  <si>
    <t>2022.1水电五金耗材采购</t>
  </si>
  <si>
    <t>436、437办公室空调（固定资产）</t>
  </si>
  <si>
    <t>（总22600元固定资产12960+维修安装9640）</t>
  </si>
  <si>
    <t>436、437办公室空调安装</t>
  </si>
  <si>
    <t>电梯维护费（餐梯）2021第二期费用</t>
  </si>
  <si>
    <r>
      <rPr>
        <sz val="10.5"/>
        <rFont val="宋体"/>
        <charset val="134"/>
      </rPr>
      <t>消防设施维修整改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</si>
  <si>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2022年2月份水电五金耗材费</t>
    </r>
    <r>
      <rPr>
        <sz val="10.5"/>
        <color indexed="10"/>
        <rFont val="宋体"/>
        <charset val="134"/>
      </rPr>
      <t>（原件交蔡维斌录入祥云）</t>
    </r>
  </si>
  <si>
    <t>2021.8.20-2022.8.19电力设备智能运维服务第一期维护费</t>
  </si>
  <si>
    <t>电梯维护费（餐梯）2022年第一期费用</t>
  </si>
  <si>
    <t>门牌及楼层导视更新</t>
  </si>
  <si>
    <t>绿城保洁及物耗费用2021年11月20日-2022年2月19日</t>
  </si>
  <si>
    <t>第十期前台礼仪服务费2021年10月25日-2022年1月24日</t>
  </si>
  <si>
    <t>207、501办公室空调（固定资产）</t>
  </si>
  <si>
    <t>207室数智工程院会议室7548元，501室网维部总经理室3452元</t>
  </si>
  <si>
    <t>2022.1-2月零星施工</t>
  </si>
  <si>
    <t>2022年1月1日-2022年2月28日昌地2022年第1期电费物业及车位管理费</t>
  </si>
  <si>
    <t>楼宇设备软件维修整改</t>
  </si>
  <si>
    <t>公司报告厅音控台维修整改</t>
  </si>
  <si>
    <r>
      <rPr>
        <sz val="10.5"/>
        <color indexed="8"/>
        <rFont val="宋体"/>
        <charset val="134"/>
      </rPr>
      <t>2022年3月份水电五金耗材费</t>
    </r>
    <r>
      <rPr>
        <sz val="10.5"/>
        <color indexed="10"/>
        <rFont val="宋体"/>
        <charset val="134"/>
      </rPr>
      <t>（原件交蔡维斌录入祥云）</t>
    </r>
  </si>
  <si>
    <t>2021.10.8-2022.4.7日蒂升第二期电梯维护保养费</t>
  </si>
  <si>
    <t>二季度会议设备维保费</t>
  </si>
  <si>
    <t>隔油设备质保款（固定资产）</t>
  </si>
  <si>
    <t>2020年9月 全款现已结清2.5%</t>
  </si>
  <si>
    <t>锁具零星维修费（2022.1.18日-3.24日）</t>
  </si>
  <si>
    <t>2022.3月零星施工</t>
  </si>
  <si>
    <t>开水器维修</t>
  </si>
  <si>
    <t>门框等维修</t>
  </si>
  <si>
    <t>安全生产法培训费9900陈伯卿安全费</t>
  </si>
  <si>
    <t>安全部费用部门</t>
  </si>
  <si>
    <t>档案室窗帘加装</t>
  </si>
  <si>
    <t>门牌及标识指示更新制作</t>
  </si>
  <si>
    <t>7楼新增门禁</t>
  </si>
  <si>
    <r>
      <rPr>
        <sz val="10.5"/>
        <color indexed="8"/>
        <rFont val="宋体"/>
        <charset val="134"/>
      </rPr>
      <t>2022年3-4月份水电五金耗材费</t>
    </r>
    <r>
      <rPr>
        <sz val="10.5"/>
        <color indexed="10"/>
        <rFont val="宋体"/>
        <charset val="134"/>
      </rPr>
      <t>（原件交蔡维斌录入祥云）</t>
    </r>
  </si>
  <si>
    <t>2021年10月-2022年3月绿化养护费</t>
  </si>
  <si>
    <t>2022年1月10日-2022年4月9日保安服务费</t>
  </si>
  <si>
    <t>信息发布系统维修</t>
  </si>
  <si>
    <t>平开内倒窗维修用上下铰链</t>
  </si>
  <si>
    <t>入库 财务蔡维斌录</t>
  </si>
  <si>
    <t>绿化补种</t>
  </si>
  <si>
    <t>生活水箱</t>
  </si>
  <si>
    <t>第十一期前台礼仪服务费2022年1月25日-2022年4月24日</t>
  </si>
  <si>
    <t>玻璃幕墙更换及外窗密封维修</t>
  </si>
  <si>
    <t>消防设备设施维修（安全费）</t>
  </si>
  <si>
    <t>刘曲 安全费</t>
  </si>
  <si>
    <r>
      <rPr>
        <sz val="10.5"/>
        <color indexed="8"/>
        <rFont val="宋体"/>
        <charset val="134"/>
      </rPr>
      <t>2022年5月份水电五金耗材费</t>
    </r>
    <r>
      <rPr>
        <sz val="10.5"/>
        <color indexed="10"/>
        <rFont val="宋体"/>
        <charset val="134"/>
      </rPr>
      <t>（原件交蔡维斌录入祥云）</t>
    </r>
  </si>
  <si>
    <t>2016会议室背景墙制作</t>
  </si>
  <si>
    <t>7楼门牌及标识指示更新制作</t>
  </si>
  <si>
    <t>2022年3月1日-2022年4月30日昌地2022年第2期电费物业及车位管理费</t>
  </si>
  <si>
    <t>2021年11月-2022年11月首期虫控消杀服务费</t>
  </si>
  <si>
    <t>绿城保洁服务费2022年2月20日-2022年5月19日</t>
  </si>
  <si>
    <t>新合同</t>
  </si>
  <si>
    <t>2022年1月-2022年5月建筑垃圾清运处置费</t>
  </si>
  <si>
    <t>2016会议室提升固定资产</t>
  </si>
  <si>
    <t>分2笔付发票总金额19465元  刘曲</t>
  </si>
  <si>
    <t>2016会议室提升</t>
  </si>
  <si>
    <t>远程拍摄全彩广角网络摄像机</t>
  </si>
  <si>
    <t>宿舍楼维修插卡取电开关</t>
  </si>
  <si>
    <r>
      <rPr>
        <sz val="10.5"/>
        <color indexed="8"/>
        <rFont val="宋体"/>
        <charset val="134"/>
      </rPr>
      <t>2021.12.1-2022.5.30消防维护保养服务首尾款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</si>
  <si>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2022年6月份水电五金耗材费</t>
    </r>
    <r>
      <rPr>
        <sz val="10.5"/>
        <color indexed="10"/>
        <rFont val="宋体"/>
        <charset val="134"/>
      </rPr>
      <t>（原件交蔡维斌录入祥云）</t>
    </r>
  </si>
  <si>
    <t>三季度会议设备维保费</t>
  </si>
  <si>
    <t>2022.4-5月零星施工</t>
  </si>
  <si>
    <t>公司西门岗亭安装空调（固定资产）</t>
  </si>
  <si>
    <t>网络机柜</t>
  </si>
  <si>
    <t>刘曲网购</t>
  </si>
  <si>
    <t>消防演练毛巾24650元（安全费）</t>
  </si>
  <si>
    <t>2022年5月1日-2022年6月30日昌地2022年第3期物业及车位管理费</t>
  </si>
  <si>
    <t>空调节能标识制作</t>
  </si>
  <si>
    <t>玻璃幕墙更换</t>
  </si>
  <si>
    <r>
      <rPr>
        <sz val="10.5"/>
        <color indexed="8"/>
        <rFont val="宋体"/>
        <charset val="134"/>
      </rPr>
      <t>2022年7月份水电五金耗材费</t>
    </r>
    <r>
      <rPr>
        <sz val="10.5"/>
        <color indexed="10"/>
        <rFont val="宋体"/>
        <charset val="134"/>
      </rPr>
      <t>（原件交瞿楹录入祥云）</t>
    </r>
  </si>
  <si>
    <t>2022年4月10日-2022年7月9日保安服务费</t>
  </si>
  <si>
    <t>362520保安服务费+900季度奖</t>
  </si>
  <si>
    <t>B1层户外遮阳竹帘</t>
  </si>
  <si>
    <t>信息发布系统维修2</t>
  </si>
  <si>
    <t>电梯井玻璃维修</t>
  </si>
  <si>
    <t>宿舍楼电池盒</t>
  </si>
  <si>
    <t>羽毛球馆加装空调（固定资产）</t>
  </si>
  <si>
    <t>（总46720元固定资产42800+维修安装3920）</t>
  </si>
  <si>
    <t>羽毛球馆加装空调</t>
  </si>
  <si>
    <t>乒乓球馆加装空调（固定资产）</t>
  </si>
  <si>
    <t>（总5880元固定资产5350+维修安装530）</t>
  </si>
  <si>
    <t>乒乓球馆加装空调</t>
  </si>
  <si>
    <t>宿舍楼离线式门锁主板维修更换</t>
  </si>
  <si>
    <t>第十二期前台礼仪服务费2022年4月25日-2022年7月24日及2022.3.25-7.24日</t>
  </si>
  <si>
    <t>72837+64744总137581增加人员补充协议</t>
  </si>
  <si>
    <t>电梯机房空调维修费</t>
  </si>
  <si>
    <t>更换扇片</t>
  </si>
  <si>
    <t>绿城保洁服务费2022年5月20日-2022年8月19日</t>
  </si>
  <si>
    <t>376830+1200季度奖金共378030元</t>
  </si>
  <si>
    <t>2021.8.20-2022.8.19电力设备智能运维服务第二期维护费</t>
  </si>
  <si>
    <r>
      <rPr>
        <sz val="10.5"/>
        <color indexed="8"/>
        <rFont val="宋体"/>
        <charset val="134"/>
      </rPr>
      <t>2022年8月份水电五金耗材费</t>
    </r>
    <r>
      <rPr>
        <sz val="10.5"/>
        <color indexed="10"/>
        <rFont val="宋体"/>
        <charset val="134"/>
      </rPr>
      <t>（原件交林优芳录入祥云）</t>
    </r>
  </si>
  <si>
    <t>2021-2022年度中央空调水系统保养服务（二期维保款）</t>
  </si>
  <si>
    <t>叶雪洪付庆春路宏盛公寓商铺18-2号消火栓整修</t>
  </si>
  <si>
    <t>4614.4+2316.43</t>
  </si>
  <si>
    <t>叶雪洪付供应链院蒋村办公室大门自爆维修更换</t>
  </si>
  <si>
    <t>叶雪洪付大关宿舍4幢3单元201室内翻新</t>
  </si>
  <si>
    <t>叶雪洪付大关宿舍4幢3单元201室零星维修</t>
  </si>
  <si>
    <t>叶雪洪付大关宿舍4幢3单元202整体维修</t>
  </si>
  <si>
    <t>叶雪洪付大关宿舍4幢4单元101、4幢2单元202/4幢3单元601室零星维修</t>
  </si>
  <si>
    <t>信息发布系统维保费</t>
  </si>
  <si>
    <t>刘曲 录挂账 一次性10000按合同先付9000.合同结束付1000</t>
  </si>
  <si>
    <t>2022.4.8-2022.10.7日蒂升第一期电梯维护保养费</t>
  </si>
  <si>
    <t>2022年7月1日-2022年8月31日昌地2022年第4期物业及车位管理费</t>
  </si>
  <si>
    <t>安全防护用品及设施（安全费）</t>
  </si>
  <si>
    <t>安全防护设备（安全费）</t>
  </si>
  <si>
    <t>2022年6月-2022年9月建筑垃圾清运处置费</t>
  </si>
  <si>
    <t>新增基础装备消防作战服</t>
  </si>
  <si>
    <t>刘曲 报销 安全费</t>
  </si>
  <si>
    <r>
      <rPr>
        <sz val="10.5"/>
        <color indexed="8"/>
        <rFont val="宋体"/>
        <charset val="134"/>
      </rPr>
      <t>2022年9月份水电五金耗材费</t>
    </r>
    <r>
      <rPr>
        <sz val="10.5"/>
        <color indexed="10"/>
        <rFont val="宋体"/>
        <charset val="134"/>
      </rPr>
      <t>（原件交林优芳录入祥云）</t>
    </r>
  </si>
  <si>
    <t>19楼离线式门锁改造新增</t>
  </si>
  <si>
    <t>锁具零星维修费2022.6月至9月</t>
  </si>
  <si>
    <t>可燃气体报警系统校准检测</t>
  </si>
  <si>
    <t>四季度会议设备维保费</t>
  </si>
  <si>
    <t>2022.6-9月零星施工</t>
  </si>
  <si>
    <t>LED大屏维保</t>
  </si>
  <si>
    <t>刘曲 首期</t>
  </si>
  <si>
    <t>会议室门牌标识制作</t>
  </si>
  <si>
    <t>张建敏报销</t>
  </si>
  <si>
    <t>更换货梯损坏摄像机</t>
  </si>
  <si>
    <t>2022年7月10日-2022年10月9日保安服务费</t>
  </si>
  <si>
    <t>2015办公室加装遮光窗帘</t>
  </si>
  <si>
    <t>园区沥青路面修补</t>
  </si>
  <si>
    <r>
      <rPr>
        <sz val="10.5"/>
        <color indexed="8"/>
        <rFont val="宋体"/>
        <charset val="134"/>
      </rPr>
      <t>2022年10月份水电五金耗材费</t>
    </r>
    <r>
      <rPr>
        <sz val="10.5"/>
        <color indexed="10"/>
        <rFont val="宋体"/>
        <charset val="134"/>
      </rPr>
      <t>（原件交林优芳录入祥云）</t>
    </r>
  </si>
  <si>
    <t>水箱清洗及水质化验费</t>
  </si>
  <si>
    <t>报告厅空调维修</t>
  </si>
  <si>
    <t>开水器清洗消毒</t>
  </si>
  <si>
    <t>园区垃圾房建设</t>
  </si>
  <si>
    <t>2022-2023年消防联网运营服务费</t>
  </si>
  <si>
    <t>2022年9月1日-2022年10月31日昌地2022年第5期物业及车位管理费</t>
  </si>
  <si>
    <t>前台礼仪服务费2022年7月25日-2022年10月24日</t>
  </si>
  <si>
    <t>门禁控制电源</t>
  </si>
  <si>
    <t>2022年5月-2022年10月绿化养护费</t>
  </si>
  <si>
    <t>电梯空调维修</t>
  </si>
  <si>
    <t>2022.10月零星施工</t>
  </si>
  <si>
    <r>
      <rPr>
        <sz val="10.5"/>
        <color indexed="8"/>
        <rFont val="宋体"/>
        <charset val="134"/>
      </rPr>
      <t>2022年11月份水电五金耗材费</t>
    </r>
    <r>
      <rPr>
        <sz val="10.5"/>
        <color indexed="10"/>
        <rFont val="宋体"/>
        <charset val="134"/>
      </rPr>
      <t>（原件交王琳录入祥云）</t>
    </r>
  </si>
  <si>
    <t>公车管理平台使用维护费尾款及首付款</t>
  </si>
  <si>
    <t>尾款14388 首付57024</t>
  </si>
  <si>
    <t>园区景观石迁移</t>
  </si>
  <si>
    <t>绿城保洁服务费2022年8月20日-2022年11月19日</t>
  </si>
  <si>
    <t>二号楼屋面加装雨棚晾衣架工程</t>
  </si>
  <si>
    <t>2022-2023年度中央空调水系统保养服务（一期维保款）</t>
  </si>
  <si>
    <t>2022年12月份水电五金耗材费</t>
  </si>
  <si>
    <t>2021年11月-2022年11月末期虫控消杀服务费</t>
  </si>
  <si>
    <t>2022.6.1-2022.11.30消防维护保养服务首付款（安全费）</t>
  </si>
  <si>
    <t>锁具零星维修费2022.10月至12月</t>
  </si>
  <si>
    <t>有毒气体检测仪（安全费）</t>
  </si>
  <si>
    <t>安全防护用品（安全费）</t>
  </si>
  <si>
    <t>2023年物业支出</t>
  </si>
  <si>
    <r>
      <rPr>
        <sz val="10.5"/>
        <color indexed="8"/>
        <rFont val="宋体"/>
        <charset val="134"/>
      </rPr>
      <t>2022消防检测费</t>
    </r>
    <r>
      <rPr>
        <sz val="10.5"/>
        <color indexed="10"/>
        <rFont val="宋体"/>
        <charset val="134"/>
      </rPr>
      <t>（安全费）</t>
    </r>
  </si>
  <si>
    <t>2021-2022年中央空调冷水机组维修保养首付款及尾款</t>
  </si>
  <si>
    <t>2020-2021中央空调冷水机组维修保养尾款</t>
  </si>
  <si>
    <t>隔油设备电机维修</t>
  </si>
  <si>
    <t>2023.1月月份水电五金耗材费</t>
  </si>
  <si>
    <t>林优芳做</t>
  </si>
  <si>
    <t>2022年11月1日-2022年12月31日昌地2022年第6期水电物业及车位管理费</t>
  </si>
  <si>
    <t>装修</t>
  </si>
  <si>
    <t>消防演练毛巾（安全费）</t>
  </si>
  <si>
    <t>2022年10月-2023年1月建筑垃圾清运处置费</t>
  </si>
  <si>
    <t>2022年10月10日-2023年1月9日保安服务费</t>
  </si>
  <si>
    <t>前台礼仪服务费2022年10月25日-2023年1月24日</t>
  </si>
  <si>
    <t>电梯维护费（餐梯）2022第二期费用</t>
  </si>
  <si>
    <t>2022年2.1日-2023年1.31日垃圾清运费</t>
  </si>
  <si>
    <t>绿城保洁服务费2022年11月20日-2023年2月19日</t>
  </si>
  <si>
    <t>2023年2月份水电五金耗材费</t>
  </si>
  <si>
    <t>2023年1月1日-2023年2月28日昌地2023年第1期水电物业及车位管理费</t>
  </si>
  <si>
    <t>离线式门锁取电开关维修更换</t>
  </si>
  <si>
    <t>水泵及控制设备采购</t>
  </si>
  <si>
    <r>
      <t>消防设备设施维修</t>
    </r>
    <r>
      <rPr>
        <sz val="10.5"/>
        <color indexed="10"/>
        <rFont val="宋体"/>
        <charset val="134"/>
      </rPr>
      <t>（安全费）</t>
    </r>
  </si>
  <si>
    <t>西裙楼餐厅加装遮光布窗帘</t>
  </si>
  <si>
    <t>2023.3月月份水电五金耗材费</t>
  </si>
  <si>
    <t>2022.12-2023.2月零星施工</t>
  </si>
  <si>
    <t>公司园区南侧新增水景</t>
  </si>
  <si>
    <t>新增会议室玻璃隔断</t>
  </si>
  <si>
    <t>2022.10.8-2023.4.7日蒂升第二期电梯维护保养费</t>
  </si>
  <si>
    <t>2023.4月月份水电五金耗材费</t>
  </si>
  <si>
    <t>2023.3月零星施工</t>
  </si>
  <si>
    <t>2023年1月10日-2023年4月9日保安服务费</t>
  </si>
  <si>
    <t>前台礼仪服务费2023年1月25日-2023年4月24日</t>
  </si>
  <si>
    <t>2022年10月-2023年3月绿化养护费</t>
  </si>
  <si>
    <t>末期</t>
  </si>
  <si>
    <t>冷却塔维修</t>
  </si>
  <si>
    <t>2023年3月1日-2023年4月30日昌地2023年第2期水电物业及车位管理费</t>
  </si>
  <si>
    <t>2022-2023年度中央空调保养服务（一期维保款）</t>
  </si>
  <si>
    <t>2022.11.10-2023.11.9变电设备运维技术服务第一期维护费</t>
  </si>
  <si>
    <t>2023.5月月份水电五金耗材费</t>
  </si>
  <si>
    <t>吸粪清运费</t>
  </si>
  <si>
    <t>原件交给潘伟录入</t>
  </si>
  <si>
    <t>绿城保洁服务费2023年2月20日-2023年5月19日</t>
  </si>
  <si>
    <t>锁具零星维修费2023.1月至5月</t>
  </si>
  <si>
    <t>刘曲安全费</t>
  </si>
  <si>
    <t>标识指示更新制作</t>
  </si>
  <si>
    <t>2022.12.1-2023.5.30消防维护保养服务尾款（安全费）</t>
  </si>
  <si>
    <t>11楼西侧办公室加装遮光窗帘</t>
  </si>
  <si>
    <t>2023.4-5月零星施工</t>
  </si>
  <si>
    <t>2023.6月份水电五金耗材费</t>
  </si>
  <si>
    <t>2023年5月1日-2023年6月30日昌地2023年第3期水电物业及车位管理费</t>
  </si>
  <si>
    <t>20楼会议室窗帘维修</t>
  </si>
  <si>
    <t>20楼会议室等</t>
  </si>
  <si>
    <t>2023年4月10日-2023年7月9日保安服务费</t>
  </si>
  <si>
    <t>空调维修</t>
  </si>
  <si>
    <t>厨房</t>
  </si>
  <si>
    <t>2023.6-7月份水电五金耗材费</t>
  </si>
  <si>
    <t>电梯加氟利昂</t>
  </si>
  <si>
    <t>电梯机房空调安装更换</t>
  </si>
  <si>
    <t>3楼厨房空调安装费</t>
  </si>
  <si>
    <t>共计23876元 安装费6000</t>
  </si>
  <si>
    <t>3楼厨房空调入资产</t>
  </si>
  <si>
    <t>共计23876元 入资产17876 财务王莉做</t>
  </si>
  <si>
    <t>刘曲报销元器件维修</t>
  </si>
  <si>
    <t>刘曲报销</t>
  </si>
  <si>
    <t>宿舍楼水表更换</t>
  </si>
  <si>
    <t>电梯空调维修费</t>
  </si>
  <si>
    <t>2022-2023年度中央空调保养服务尾款</t>
  </si>
  <si>
    <t>30%尾款</t>
  </si>
  <si>
    <t>2022-2023年度中央空调水系统保养服务（二期维保款）</t>
  </si>
  <si>
    <t>自动门维修</t>
  </si>
  <si>
    <t>2023年7月1日-2023年8月31日昌地2023年第4期水电物业及车位管理费</t>
  </si>
  <si>
    <t>绿城保洁服务费2023年5月20日-2023年8月19日</t>
  </si>
  <si>
    <t>2023.8月份水电五金耗材费</t>
    <phoneticPr fontId="4" type="noConversion"/>
  </si>
  <si>
    <t>2023.8-9月份水电五金耗材费</t>
    <phoneticPr fontId="4" type="noConversion"/>
  </si>
  <si>
    <t>可燃气体报警器检测费</t>
    <phoneticPr fontId="4" type="noConversion"/>
  </si>
  <si>
    <t>离线式门锁电池盒维修更换</t>
    <phoneticPr fontId="4" type="noConversion"/>
  </si>
  <si>
    <t>2023.4.8-10.7日蒂升第一期电梯维护保养费</t>
    <phoneticPr fontId="4" type="noConversion"/>
  </si>
  <si>
    <t>华信设计院10楼装修改造工程</t>
    <phoneticPr fontId="4" type="noConversion"/>
  </si>
  <si>
    <t>水泵维修</t>
    <phoneticPr fontId="4" type="noConversion"/>
  </si>
  <si>
    <t>2022年11月-2023年5月首期虫控消杀服务费</t>
    <phoneticPr fontId="4" type="noConversion"/>
  </si>
  <si>
    <t>亚运值班室323房间空调安装费</t>
    <phoneticPr fontId="4" type="noConversion"/>
  </si>
  <si>
    <t>共计10345元 安装费1490元</t>
    <phoneticPr fontId="4" type="noConversion"/>
  </si>
  <si>
    <t>亚运值班室323房间装空调</t>
    <phoneticPr fontId="4" type="noConversion"/>
  </si>
  <si>
    <t>2023年7月10日-2023年10月9日保安服务费</t>
    <phoneticPr fontId="4" type="noConversion"/>
  </si>
  <si>
    <t>供水系统维修</t>
    <phoneticPr fontId="4" type="noConversion"/>
  </si>
  <si>
    <t>首期</t>
    <phoneticPr fontId="4" type="noConversion"/>
  </si>
  <si>
    <t>2023年4月-2023年9月绿化养护费</t>
    <phoneticPr fontId="4" type="noConversion"/>
  </si>
  <si>
    <t>园区绿化补种</t>
    <phoneticPr fontId="4" type="noConversion"/>
  </si>
  <si>
    <t>2023.9-10月份水电五金耗材费</t>
    <phoneticPr fontId="4" type="noConversion"/>
  </si>
  <si>
    <r>
      <t>前台礼仪服务费2023年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月25日-2023年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</si>
  <si>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食堂射灯更换</t>
    <phoneticPr fontId="4" type="noConversion"/>
  </si>
  <si>
    <t>张建敏报销</t>
    <phoneticPr fontId="4" type="noConversion"/>
  </si>
  <si>
    <t>安全宣传费报销</t>
    <phoneticPr fontId="4" type="noConversion"/>
  </si>
  <si>
    <t>水质化验费</t>
    <phoneticPr fontId="4" type="noConversion"/>
  </si>
  <si>
    <r>
      <t>2023.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10</t>
    </r>
    <r>
      <rPr>
        <sz val="10.5"/>
        <color indexed="8"/>
        <rFont val="宋体"/>
        <charset val="134"/>
      </rPr>
      <t>月零星施工</t>
    </r>
    <phoneticPr fontId="4" type="noConversion"/>
  </si>
  <si>
    <t>安全费</t>
    <phoneticPr fontId="4" type="noConversion"/>
  </si>
  <si>
    <r>
      <t>202</t>
    </r>
    <r>
      <rPr>
        <sz val="10.5"/>
        <rFont val="宋体"/>
        <charset val="134"/>
      </rPr>
      <t>3</t>
    </r>
    <r>
      <rPr>
        <sz val="10.5"/>
        <rFont val="宋体"/>
        <charset val="134"/>
      </rPr>
      <t>-202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年消防联网运营服务费</t>
    </r>
    <phoneticPr fontId="4" type="noConversion"/>
  </si>
  <si>
    <t>消防设备设施维修</t>
    <phoneticPr fontId="4" type="noConversion"/>
  </si>
  <si>
    <t>刘曲安全费瞿楹付</t>
    <phoneticPr fontId="4" type="noConversion"/>
  </si>
  <si>
    <t>刘曲</t>
    <phoneticPr fontId="4" type="noConversion"/>
  </si>
  <si>
    <t>门禁电力门锁维修备件</t>
    <phoneticPr fontId="4" type="noConversion"/>
  </si>
  <si>
    <t>8楼9楼卫生间采购4台开水器</t>
    <phoneticPr fontId="4" type="noConversion"/>
  </si>
  <si>
    <t>共计10345元 入资产8855 财务朱兰</t>
    <phoneticPr fontId="4" type="noConversion"/>
  </si>
  <si>
    <t>入资产 财务朱兰</t>
    <phoneticPr fontId="4" type="noConversion"/>
  </si>
  <si>
    <t>公司8楼9楼会议室空调采购</t>
    <phoneticPr fontId="4" type="noConversion"/>
  </si>
  <si>
    <t>门禁控制器电源采购</t>
    <phoneticPr fontId="4" type="noConversion"/>
  </si>
  <si>
    <r>
      <t>绿城保洁服务费2023年</t>
    </r>
    <r>
      <rPr>
        <sz val="10.5"/>
        <rFont val="宋体"/>
        <charset val="134"/>
      </rPr>
      <t>8</t>
    </r>
    <r>
      <rPr>
        <sz val="10.5"/>
        <rFont val="宋体"/>
        <charset val="134"/>
      </rPr>
      <t>月20日-2023年</t>
    </r>
    <r>
      <rPr>
        <sz val="10.5"/>
        <rFont val="宋体"/>
        <charset val="134"/>
      </rPr>
      <t>11</t>
    </r>
    <r>
      <rPr>
        <sz val="10.5"/>
        <rFont val="宋体"/>
        <charset val="134"/>
      </rPr>
      <t>月19日</t>
    </r>
    <phoneticPr fontId="4" type="noConversion"/>
  </si>
  <si>
    <t>报销</t>
    <phoneticPr fontId="4" type="noConversion"/>
  </si>
  <si>
    <t>食堂电动转盘采购报销</t>
    <phoneticPr fontId="4" type="noConversion"/>
  </si>
  <si>
    <r>
      <t>2023.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-1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月份水电五金耗材费</t>
    </r>
    <phoneticPr fontId="4" type="noConversion"/>
  </si>
  <si>
    <t>锁具零星维修费2023.6月至10月</t>
    <phoneticPr fontId="4" type="noConversion"/>
  </si>
  <si>
    <t>2023年9月1日-2023年10月31日昌地2023年第5期水电物业及车位管理费</t>
    <phoneticPr fontId="4" type="noConversion"/>
  </si>
  <si>
    <t>2023年5月-2023年11月末期虫控消杀服务费</t>
    <phoneticPr fontId="4" type="noConversion"/>
  </si>
  <si>
    <t>安全宣传挂图（安全费）</t>
    <phoneticPr fontId="4" type="noConversion"/>
  </si>
  <si>
    <t>安全防护用品（安全费）</t>
    <phoneticPr fontId="4" type="noConversion"/>
  </si>
  <si>
    <t>消防演练毛巾（安全费）</t>
    <phoneticPr fontId="4" type="noConversion"/>
  </si>
  <si>
    <t>会议设备维修</t>
    <phoneticPr fontId="4" type="noConversion"/>
  </si>
  <si>
    <t>二季度会议设备维保费</t>
    <phoneticPr fontId="4" type="noConversion"/>
  </si>
  <si>
    <t>三季度会议设备维保费</t>
    <phoneticPr fontId="4" type="noConversion"/>
  </si>
  <si>
    <t xml:space="preserve">刘曲 </t>
    <phoneticPr fontId="4" type="noConversion"/>
  </si>
  <si>
    <t>卫生间坐便器改造</t>
    <phoneticPr fontId="4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</si>
  <si>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年度中央空调水系统保养服务（一期维保款）</t>
    </r>
    <phoneticPr fontId="4" type="noConversion"/>
  </si>
  <si>
    <t>2022.11.10-2023.11.9变电设备运维技术服务第二期维护费</t>
    <phoneticPr fontId="4" type="noConversion"/>
  </si>
  <si>
    <t>另50% 完成</t>
    <phoneticPr fontId="4" type="noConversion"/>
  </si>
  <si>
    <r>
      <t>2023.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1-12月份水电五金耗材费</t>
    </r>
    <phoneticPr fontId="4" type="noConversion"/>
  </si>
  <si>
    <t>污水管清理及整改</t>
    <phoneticPr fontId="11" type="noConversion"/>
  </si>
  <si>
    <t>2023-2024消防维护保养服务首款（安全费）</t>
    <phoneticPr fontId="11" type="noConversion"/>
  </si>
  <si>
    <t>电梯维护费（餐梯）2023第二期费用</t>
    <phoneticPr fontId="11" type="noConversion"/>
  </si>
  <si>
    <t>二号楼空调外机平台防水改造工程</t>
    <phoneticPr fontId="11" type="noConversion"/>
  </si>
  <si>
    <t>信息发布系统维保尾款1000元</t>
    <phoneticPr fontId="11" type="noConversion"/>
  </si>
  <si>
    <t>刘曲</t>
    <phoneticPr fontId="11" type="noConversion"/>
  </si>
  <si>
    <t>2023年10月10日-2024年1月9日保安服务费</t>
    <phoneticPr fontId="11" type="noConversion"/>
  </si>
  <si>
    <t>2023.12-2024.1月份水电五金耗材费</t>
    <phoneticPr fontId="4" type="noConversion"/>
  </si>
  <si>
    <t>锁具零星维修费2023.12月</t>
    <phoneticPr fontId="11" type="noConversion"/>
  </si>
  <si>
    <t>刘曲</t>
    <phoneticPr fontId="11" type="noConversion"/>
  </si>
  <si>
    <t>停车设备维修</t>
    <phoneticPr fontId="11" type="noConversion"/>
  </si>
  <si>
    <t>杭州管道燃气非居民用户维保费</t>
    <phoneticPr fontId="11" type="noConversion"/>
  </si>
  <si>
    <t>2023.6-8月零星施工</t>
    <phoneticPr fontId="4" type="noConversion"/>
  </si>
  <si>
    <t>前台礼仪服务费2023年4月25日-2023年7月24日</t>
    <phoneticPr fontId="4" type="noConversion"/>
  </si>
  <si>
    <t>2023.11月-2024.1月零星施工</t>
    <phoneticPr fontId="11" type="noConversion"/>
  </si>
  <si>
    <r>
      <t>前台礼仪服务费2023年</t>
    </r>
    <r>
      <rPr>
        <sz val="10.5"/>
        <rFont val="宋体"/>
        <charset val="134"/>
      </rPr>
      <t>10月25日-2024年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月24日</t>
    </r>
    <phoneticPr fontId="4" type="noConversion"/>
  </si>
  <si>
    <t>共6000</t>
    <phoneticPr fontId="11" type="noConversion"/>
  </si>
  <si>
    <t>2023年2月-2024年1月建筑垃圾清运处置费</t>
    <phoneticPr fontId="11" type="noConversion"/>
  </si>
  <si>
    <r>
      <t>绿城保洁服务费2023年</t>
    </r>
    <r>
      <rPr>
        <sz val="10.5"/>
        <rFont val="宋体"/>
        <charset val="134"/>
      </rPr>
      <t>11月20日-2024年2月19日</t>
    </r>
    <phoneticPr fontId="4" type="noConversion"/>
  </si>
  <si>
    <t>2024年物业支出</t>
    <phoneticPr fontId="11" type="noConversion"/>
  </si>
  <si>
    <t>旗杆手摇升降器</t>
    <phoneticPr fontId="11" type="noConversion"/>
  </si>
  <si>
    <t>门牌及标识指示更新制作</t>
    <phoneticPr fontId="11" type="noConversion"/>
  </si>
  <si>
    <t>2024.1-2024.3月份水电五金耗材费</t>
    <phoneticPr fontId="4" type="noConversion"/>
  </si>
  <si>
    <t>2023年10月-2024年3月绿化养护费</t>
    <phoneticPr fontId="4" type="noConversion"/>
  </si>
  <si>
    <t>创新院咨询院部门调整搬迁</t>
    <phoneticPr fontId="11" type="noConversion"/>
  </si>
  <si>
    <t>末期 室外</t>
    <phoneticPr fontId="4" type="noConversion"/>
  </si>
  <si>
    <t>刘曲安全费 首款</t>
    <phoneticPr fontId="11" type="noConversion"/>
  </si>
  <si>
    <t>报告厅屋面防水工程</t>
    <phoneticPr fontId="11" type="noConversion"/>
  </si>
  <si>
    <t>尾款</t>
    <phoneticPr fontId="11" type="noConversion"/>
  </si>
  <si>
    <t>2023年2.1日-2024年1.31日垃圾清运费</t>
    <phoneticPr fontId="11" type="noConversion"/>
  </si>
  <si>
    <t>2023-2024年度中央空调保养服务（一期维保款）</t>
    <phoneticPr fontId="11" type="noConversion"/>
  </si>
  <si>
    <t>2023.10.8-2024.4.7日蒂升第二期电梯维护保养费</t>
    <phoneticPr fontId="4" type="noConversion"/>
  </si>
  <si>
    <t>锅炉保养服务费2022.11.25-2023.11.24</t>
    <phoneticPr fontId="11" type="noConversion"/>
  </si>
  <si>
    <t>刘曲 7楼</t>
    <phoneticPr fontId="11" type="noConversion"/>
  </si>
  <si>
    <t>门禁设备采购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</si>
  <si>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</t>
    </r>
    <phoneticPr fontId="4" type="noConversion"/>
  </si>
  <si>
    <t>吸粪清运费2023.11月-2024.4月</t>
    <phoneticPr fontId="11" type="noConversion"/>
  </si>
  <si>
    <r>
      <t>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年1月10日-2024年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月9日保安服务费</t>
    </r>
    <phoneticPr fontId="11" type="noConversion"/>
  </si>
  <si>
    <t>水箱清洗及水质化验费</t>
    <phoneticPr fontId="11" type="noConversion"/>
  </si>
  <si>
    <t>2024.3-2024.4月份水电五金耗材费</t>
    <phoneticPr fontId="4" type="noConversion"/>
  </si>
  <si>
    <r>
      <t>前台礼仪服务费202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年1月25日-2024年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月24日</t>
    </r>
    <phoneticPr fontId="4" type="noConversion"/>
  </si>
  <si>
    <t>安全费</t>
    <phoneticPr fontId="11" type="noConversion"/>
  </si>
  <si>
    <t>七氟丙烷气体灭火系统检验充装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</si>
  <si>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1-4</t>
    </r>
    <r>
      <rPr>
        <sz val="10.5"/>
        <color indexed="8"/>
        <rFont val="宋体"/>
        <charset val="134"/>
      </rPr>
      <t>月零星施工</t>
    </r>
    <phoneticPr fontId="11" type="noConversion"/>
  </si>
  <si>
    <t>供应链数智工程院等部门调整搬迁</t>
    <phoneticPr fontId="11" type="noConversion"/>
  </si>
  <si>
    <t>风机皮带维修</t>
    <phoneticPr fontId="11" type="noConversion"/>
  </si>
  <si>
    <r>
      <t>2</t>
    </r>
    <r>
      <rPr>
        <sz val="10.5"/>
        <color indexed="8"/>
        <rFont val="宋体"/>
        <charset val="134"/>
      </rPr>
      <t>024</t>
    </r>
    <r>
      <rPr>
        <sz val="10.5"/>
        <color indexed="8"/>
        <rFont val="宋体"/>
        <charset val="134"/>
      </rPr>
      <t>一季度会议设备维保费</t>
    </r>
    <phoneticPr fontId="4" type="noConversion"/>
  </si>
  <si>
    <r>
      <t>50%</t>
    </r>
    <r>
      <rPr>
        <sz val="11"/>
        <rFont val="宋体"/>
        <charset val="134"/>
      </rPr>
      <t xml:space="preserve"> 北辰</t>
    </r>
    <phoneticPr fontId="11" type="noConversion"/>
  </si>
  <si>
    <t>高低配设备运维技术服务首期维护费</t>
    <phoneticPr fontId="11" type="noConversion"/>
  </si>
  <si>
    <t>空调维修</t>
    <phoneticPr fontId="11" type="noConversion"/>
  </si>
  <si>
    <t>食堂</t>
    <phoneticPr fontId="11" type="noConversion"/>
  </si>
  <si>
    <t>佳力图机房空调维修</t>
    <phoneticPr fontId="11" type="noConversion"/>
  </si>
  <si>
    <t>刘曲安全费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</si>
  <si>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</si>
  <si>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消防水泵控制柜维修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</si>
  <si>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绿城保洁服务费202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2</t>
    </r>
    <r>
      <rPr>
        <sz val="10.5"/>
        <rFont val="宋体"/>
        <charset val="134"/>
      </rPr>
      <t>月20日-2024年</t>
    </r>
    <r>
      <rPr>
        <sz val="10.5"/>
        <rFont val="宋体"/>
        <charset val="134"/>
      </rPr>
      <t>5</t>
    </r>
    <r>
      <rPr>
        <sz val="10.5"/>
        <rFont val="宋体"/>
        <charset val="134"/>
      </rPr>
      <t>月19日</t>
    </r>
    <phoneticPr fontId="4" type="noConversion"/>
  </si>
  <si>
    <t>2024.4-2024.5月份水电五金耗材费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</si>
  <si>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月</t>
    </r>
    <phoneticPr fontId="4" type="noConversion"/>
  </si>
  <si>
    <t>新大楼</t>
    <phoneticPr fontId="11" type="noConversion"/>
  </si>
  <si>
    <t>电动自行车室外车棚改造项目</t>
    <phoneticPr fontId="11" type="noConversion"/>
  </si>
  <si>
    <t>公司报告厅LED屏维修</t>
    <phoneticPr fontId="11" type="noConversion"/>
  </si>
  <si>
    <t>2023.11月-2024.11月首期虫控消杀服务费</t>
    <phoneticPr fontId="4" type="noConversion"/>
  </si>
  <si>
    <t>报销</t>
    <phoneticPr fontId="11" type="noConversion"/>
  </si>
  <si>
    <t>负一层餐厅加装遮阳网布</t>
    <phoneticPr fontId="11" type="noConversion"/>
  </si>
  <si>
    <t>刘曲安全费 尾款</t>
    <phoneticPr fontId="11" type="noConversion"/>
  </si>
  <si>
    <t>2023-2024消防维护保养服务尾款（安全费）</t>
    <phoneticPr fontId="11" type="noConversion"/>
  </si>
  <si>
    <t>2024.6月份水电五金耗材费</t>
    <phoneticPr fontId="4" type="noConversion"/>
  </si>
  <si>
    <t>华信设计19楼新增办公室隔断工程</t>
    <phoneticPr fontId="11" type="noConversion"/>
  </si>
  <si>
    <t>2024年1月-2024年6月建筑垃圾清运处置费</t>
    <phoneticPr fontId="11" type="noConversion"/>
  </si>
  <si>
    <r>
      <t>2024</t>
    </r>
    <r>
      <rPr>
        <sz val="10.5"/>
        <rFont val="宋体"/>
        <charset val="134"/>
      </rPr>
      <t>年4月10日-2024年7月9日保安服务费</t>
    </r>
    <phoneticPr fontId="11" type="noConversion"/>
  </si>
  <si>
    <t>2024.6-7月份水电五金耗材费</t>
    <phoneticPr fontId="11" type="noConversion"/>
  </si>
  <si>
    <t>林优芳做</t>
    <phoneticPr fontId="11" type="noConversion"/>
  </si>
  <si>
    <r>
      <t>前台礼仪服务费2024</t>
    </r>
    <r>
      <rPr>
        <sz val="10.5"/>
        <rFont val="宋体"/>
        <charset val="134"/>
      </rPr>
      <t>年4月25日-2024年7月24日</t>
    </r>
    <phoneticPr fontId="4" type="noConversion"/>
  </si>
  <si>
    <t>浙江公司产业园电动自行车棚改造工程</t>
    <phoneticPr fontId="11" type="noConversion"/>
  </si>
  <si>
    <t>电梯维护费（餐梯）2023第一期费用</t>
    <phoneticPr fontId="4" type="noConversion"/>
  </si>
  <si>
    <t>电梯维护费（餐梯）2024-2025年第一期费用</t>
    <phoneticPr fontId="11" type="noConversion"/>
  </si>
  <si>
    <t>70%荃恩冷水机组</t>
    <phoneticPr fontId="11" type="noConversion"/>
  </si>
  <si>
    <t>30%荃恩冷水机组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</si>
  <si>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7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</t>
    </r>
    <phoneticPr fontId="4" type="noConversion"/>
  </si>
  <si>
    <t>2024.4月-2024.7月零星施工</t>
    <phoneticPr fontId="11" type="noConversion"/>
  </si>
  <si>
    <r>
      <t>绿城保洁服务费2024</t>
    </r>
    <r>
      <rPr>
        <sz val="10.5"/>
        <rFont val="宋体"/>
        <charset val="134"/>
      </rPr>
      <t>年5月20日-2024年8月19日</t>
    </r>
    <phoneticPr fontId="4" type="noConversion"/>
  </si>
  <si>
    <t>2023-2024年度中央空调保养服务（二期尾款）</t>
    <phoneticPr fontId="11" type="noConversion"/>
  </si>
  <si>
    <t>大森50%</t>
    <phoneticPr fontId="11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</si>
  <si>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年度中央空调水系统保养服务（二期尾款）</t>
    </r>
    <phoneticPr fontId="4" type="noConversion"/>
  </si>
  <si>
    <t>百进</t>
    <phoneticPr fontId="11" type="noConversion"/>
  </si>
  <si>
    <t>绿化补种</t>
    <phoneticPr fontId="11" type="noConversion"/>
  </si>
  <si>
    <t>蒂升</t>
    <phoneticPr fontId="11" type="noConversion"/>
  </si>
  <si>
    <t>2024.4.8-2024.10.7日蒂升第一期电梯维护保养费</t>
    <phoneticPr fontId="4" type="noConversion"/>
  </si>
  <si>
    <t>电梯维修</t>
    <phoneticPr fontId="11" type="noConversion"/>
  </si>
  <si>
    <t>空调移机</t>
    <phoneticPr fontId="11" type="noConversion"/>
  </si>
  <si>
    <t>3楼5G机房</t>
    <phoneticPr fontId="11" type="noConversion"/>
  </si>
  <si>
    <t>可燃气体探测器检测</t>
    <phoneticPr fontId="11" type="noConversion"/>
  </si>
  <si>
    <t>2024.8-9月份水电五金耗材费</t>
    <phoneticPr fontId="11" type="noConversion"/>
  </si>
  <si>
    <t>2024.7-8月份水电五金耗材费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</si>
  <si>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</si>
  <si>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2024年4月-9月室内绿化养护费首期</t>
    <phoneticPr fontId="4" type="noConversion"/>
  </si>
  <si>
    <t>会议系统设备维修</t>
    <phoneticPr fontId="11" type="noConversion"/>
  </si>
  <si>
    <t>吸粪清运费</t>
    <phoneticPr fontId="11" type="noConversion"/>
  </si>
  <si>
    <t>安全防护用品（安全费）</t>
    <phoneticPr fontId="11" type="noConversion"/>
  </si>
  <si>
    <t>2024年7月10日-2024年10月9日保安服务费</t>
    <phoneticPr fontId="11" type="noConversion"/>
  </si>
  <si>
    <t>三楼机房新建玻璃隔断</t>
    <phoneticPr fontId="11" type="noConversion"/>
  </si>
  <si>
    <t>公司电动伸缩门维修</t>
    <phoneticPr fontId="11" type="noConversion"/>
  </si>
  <si>
    <r>
      <t>2024.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月份水电五金耗材费</t>
    </r>
    <phoneticPr fontId="11" type="noConversion"/>
  </si>
  <si>
    <t>刘曲 锐同70%</t>
    <phoneticPr fontId="11" type="noConversion"/>
  </si>
  <si>
    <t>信息发布系统维保费首款</t>
    <phoneticPr fontId="11" type="noConversion"/>
  </si>
  <si>
    <r>
      <t>前台礼仪服务费2024年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月25日-2024年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</si>
  <si>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1号电梯空调维修费</t>
    <phoneticPr fontId="11" type="noConversion"/>
  </si>
  <si>
    <t>摄像头维修更换</t>
    <phoneticPr fontId="11" type="noConversion"/>
  </si>
  <si>
    <t>老大楼</t>
    <phoneticPr fontId="11" type="noConversion"/>
  </si>
  <si>
    <t>高低配设备运维技术服务尾期维护费</t>
    <phoneticPr fontId="11" type="noConversion"/>
  </si>
  <si>
    <t>玻璃幕墙更换</t>
    <phoneticPr fontId="4" type="noConversion"/>
  </si>
  <si>
    <r>
      <t>2024.1</t>
    </r>
    <r>
      <rPr>
        <sz val="10.5"/>
        <rFont val="宋体"/>
        <charset val="134"/>
      </rPr>
      <t>1月份水电五金耗材费</t>
    </r>
    <phoneticPr fontId="11" type="noConversion"/>
  </si>
  <si>
    <t>绿城保洁服务费2024年8月20日-2024年11月19日</t>
    <phoneticPr fontId="4" type="noConversion"/>
  </si>
  <si>
    <t>浙江公司产业园高配房气体灭火系统改造工程</t>
    <phoneticPr fontId="11" type="noConversion"/>
  </si>
  <si>
    <t>玻璃幕墙维修更换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</si>
  <si>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年度中央空调水系统保养服务（一期首款）</t>
    </r>
    <phoneticPr fontId="4" type="noConversion"/>
  </si>
  <si>
    <t>隔油设备故障维修</t>
    <phoneticPr fontId="11" type="noConversion"/>
  </si>
  <si>
    <t>2023.11月-2024.11月末期虫控消杀服务费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</si>
  <si>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12</t>
    </r>
    <r>
      <rPr>
        <sz val="10.5"/>
        <color indexed="8"/>
        <rFont val="宋体"/>
        <charset val="134"/>
      </rPr>
      <t>月</t>
    </r>
    <phoneticPr fontId="4" type="noConversion"/>
  </si>
  <si>
    <t>华信会议桌丝绒台布采购</t>
    <phoneticPr fontId="11" type="noConversion"/>
  </si>
  <si>
    <t>2024年2.1日-2025年1.31日垃圾清运费</t>
    <phoneticPr fontId="11" type="noConversion"/>
  </si>
  <si>
    <r>
      <t>202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>年物业支出</t>
    </r>
    <phoneticPr fontId="11" type="noConversion"/>
  </si>
  <si>
    <t>报销</t>
    <phoneticPr fontId="19" type="noConversion"/>
  </si>
  <si>
    <t>员工宿舍307房间热水器安装费</t>
    <phoneticPr fontId="19" type="noConversion"/>
  </si>
  <si>
    <t>刘曲 尾款</t>
    <phoneticPr fontId="19" type="noConversion"/>
  </si>
  <si>
    <t>LED大屏维保尾款</t>
    <phoneticPr fontId="19" type="noConversion"/>
  </si>
  <si>
    <r>
      <t>刘曲安全费 两年合同期</t>
    </r>
    <r>
      <rPr>
        <sz val="11"/>
        <rFont val="宋体"/>
        <charset val="134"/>
      </rPr>
      <t>25%</t>
    </r>
    <phoneticPr fontId="11" type="noConversion"/>
  </si>
  <si>
    <r>
      <t>2024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消防维护保养服务费一期（安全费）</t>
    </r>
    <phoneticPr fontId="11" type="noConversion"/>
  </si>
  <si>
    <r>
      <t>2024.1</t>
    </r>
    <r>
      <rPr>
        <sz val="10.5"/>
        <rFont val="宋体"/>
        <charset val="134"/>
      </rPr>
      <t>1-12月份水电五金耗材费</t>
    </r>
    <phoneticPr fontId="11" type="noConversion"/>
  </si>
  <si>
    <t>2025.1月份水电五金耗材费</t>
    <phoneticPr fontId="19" type="noConversion"/>
  </si>
  <si>
    <t>华信大楼水泵维修费</t>
    <phoneticPr fontId="19" type="noConversion"/>
  </si>
  <si>
    <t>华信大楼4楼程控机房精密空调维修费</t>
    <phoneticPr fontId="19" type="noConversion"/>
  </si>
  <si>
    <r>
      <t>员工宿舍3</t>
    </r>
    <r>
      <rPr>
        <sz val="10.5"/>
        <color indexed="8"/>
        <rFont val="宋体"/>
        <charset val="134"/>
      </rPr>
      <t>15房间</t>
    </r>
    <r>
      <rPr>
        <sz val="10.5"/>
        <color indexed="8"/>
        <rFont val="宋体"/>
        <charset val="134"/>
      </rPr>
      <t>热水器安装费</t>
    </r>
    <phoneticPr fontId="19" type="noConversion"/>
  </si>
  <si>
    <r>
      <t>绿城保洁服务费2024年11</t>
    </r>
    <r>
      <rPr>
        <sz val="10.5"/>
        <rFont val="宋体"/>
        <charset val="134"/>
      </rPr>
      <t>月20日-</t>
    </r>
    <r>
      <rPr>
        <sz val="10.5"/>
        <rFont val="宋体"/>
        <charset val="134"/>
      </rPr>
      <t>2025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</t>
    </r>
    <r>
      <rPr>
        <sz val="10.5"/>
        <rFont val="宋体"/>
        <charset val="134"/>
      </rPr>
      <t>9</t>
    </r>
    <r>
      <rPr>
        <sz val="10.5"/>
        <rFont val="宋体"/>
        <charset val="134"/>
      </rPr>
      <t>日</t>
    </r>
    <phoneticPr fontId="4" type="noConversion"/>
  </si>
  <si>
    <t>合同结束</t>
    <phoneticPr fontId="19" type="noConversion"/>
  </si>
  <si>
    <r>
      <t>2024年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月10日-202</t>
    </r>
    <r>
      <rPr>
        <sz val="10.5"/>
        <rFont val="宋体"/>
        <charset val="134"/>
      </rPr>
      <t>5</t>
    </r>
    <r>
      <rPr>
        <sz val="10.5"/>
        <rFont val="宋体"/>
        <charset val="134"/>
      </rPr>
      <t>年1月9日保安服务费</t>
    </r>
    <phoneticPr fontId="11" type="noConversion"/>
  </si>
  <si>
    <r>
      <t>消防设备设施维修2</t>
    </r>
    <r>
      <rPr>
        <sz val="10.5"/>
        <rFont val="宋体"/>
        <charset val="134"/>
      </rPr>
      <t>024.8月-10月消防费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</si>
  <si>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</si>
  <si>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消防演练毛巾</t>
    </r>
    <r>
      <rPr>
        <sz val="10.5"/>
        <color indexed="10"/>
        <rFont val="宋体"/>
        <charset val="134"/>
      </rPr>
      <t>（安全费）</t>
    </r>
    <phoneticPr fontId="4" type="noConversion"/>
  </si>
  <si>
    <t>2025.2月份水电五金耗材费</t>
    <phoneticPr fontId="19" type="noConversion"/>
  </si>
  <si>
    <t>佳力图</t>
    <phoneticPr fontId="19" type="noConversion"/>
  </si>
  <si>
    <t>2025.3月份水电五金耗材费</t>
    <phoneticPr fontId="19" type="noConversion"/>
  </si>
  <si>
    <t>2024.10.8-2025.4.7日蒂升第二期电梯维护保养费</t>
    <phoneticPr fontId="28" type="noConversion"/>
  </si>
  <si>
    <t>蒂升尾款</t>
    <phoneticPr fontId="28" type="noConversion"/>
  </si>
  <si>
    <r>
      <t>安全防护用品</t>
    </r>
    <r>
      <rPr>
        <sz val="10.5"/>
        <color indexed="10"/>
        <rFont val="宋体"/>
        <charset val="134"/>
      </rPr>
      <t>（安全费）</t>
    </r>
    <phoneticPr fontId="4" type="noConversion"/>
  </si>
  <si>
    <r>
      <t>2</t>
    </r>
    <r>
      <rPr>
        <sz val="11"/>
        <rFont val="宋体"/>
        <charset val="134"/>
      </rPr>
      <t>024.4-2025.3</t>
    </r>
    <phoneticPr fontId="19" type="noConversion"/>
  </si>
  <si>
    <t>佳力图空调维保</t>
    <phoneticPr fontId="28" type="noConversion"/>
  </si>
  <si>
    <t>2024年10月-2025年3月室内绿化养护费尾期</t>
    <phoneticPr fontId="28" type="noConversion"/>
  </si>
  <si>
    <t>2024年10月-2025年3月室外绿化养护费尾期</t>
    <phoneticPr fontId="28" type="noConversion"/>
  </si>
  <si>
    <t>合同结束</t>
    <phoneticPr fontId="19" type="noConversion"/>
  </si>
  <si>
    <r>
      <t>前台礼仪服务费2024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月25日-</t>
    </r>
    <r>
      <rPr>
        <sz val="10.5"/>
        <rFont val="宋体"/>
        <charset val="134"/>
      </rPr>
      <t>2025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</t>
    </r>
    <r>
      <rPr>
        <sz val="10.5"/>
        <rFont val="宋体"/>
        <charset val="134"/>
      </rPr>
      <t>9</t>
    </r>
    <r>
      <rPr>
        <sz val="10.5"/>
        <rFont val="宋体"/>
        <charset val="134"/>
      </rPr>
      <t>日</t>
    </r>
    <phoneticPr fontId="4" type="noConversion"/>
  </si>
  <si>
    <t>保安保洁礼仪服务费2025.1.10-2025.4.9日第一期</t>
    <phoneticPr fontId="4" type="noConversion"/>
  </si>
  <si>
    <t>第一期 （保洁服务扣款300元）</t>
    <phoneticPr fontId="19" type="noConversion"/>
  </si>
  <si>
    <t>华信三楼实验室门禁维修服务</t>
    <phoneticPr fontId="19" type="noConversion"/>
  </si>
  <si>
    <t>刘曲</t>
    <phoneticPr fontId="19" type="noConversion"/>
  </si>
  <si>
    <t>2025.4月份水电五金耗材费</t>
    <phoneticPr fontId="19" type="noConversion"/>
  </si>
  <si>
    <t>王琳做</t>
    <phoneticPr fontId="19" type="noConversion"/>
  </si>
  <si>
    <r>
      <t>锁具零星维修费202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2-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</t>
    </r>
    <phoneticPr fontId="4" type="noConversion"/>
  </si>
  <si>
    <t>大厅LED大屏维修</t>
    <phoneticPr fontId="19" type="noConversion"/>
  </si>
  <si>
    <t>华信中央空调水流量开关维修</t>
    <phoneticPr fontId="19" type="noConversion"/>
  </si>
  <si>
    <t>华信冷却泵配电柜接触器维修</t>
    <phoneticPr fontId="19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</si>
  <si>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2025.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月零星施工</t>
    </r>
    <phoneticPr fontId="11" type="noConversion"/>
  </si>
  <si>
    <t>华信花卉采购</t>
    <phoneticPr fontId="19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</si>
  <si>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</si>
  <si>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2025.5月份水电五金耗材费</t>
    <phoneticPr fontId="19" type="noConversion"/>
  </si>
  <si>
    <t>消防设备设施维修（安全费）</t>
    <phoneticPr fontId="11" type="noConversion"/>
  </si>
  <si>
    <t>华信防毒面罩过期更换（安全费）</t>
    <phoneticPr fontId="11" type="noConversion"/>
  </si>
  <si>
    <t>华信食堂门禁维修更换</t>
    <phoneticPr fontId="19" type="noConversion"/>
  </si>
  <si>
    <t>2025.6月份水电五金耗材费</t>
    <phoneticPr fontId="19" type="noConversion"/>
  </si>
  <si>
    <t>华信1号电梯机房更换空调加长铜管费</t>
    <phoneticPr fontId="19" type="noConversion"/>
  </si>
  <si>
    <t>华信1号电梯机房更换空调</t>
    <phoneticPr fontId="19" type="noConversion"/>
  </si>
  <si>
    <t>瞿楹走流程</t>
    <phoneticPr fontId="19" type="noConversion"/>
  </si>
  <si>
    <t>门禁控制器维修</t>
    <phoneticPr fontId="19" type="noConversion"/>
  </si>
  <si>
    <t>燃气调压阀维修费</t>
    <phoneticPr fontId="19" type="noConversion"/>
  </si>
  <si>
    <t>华信308会议室空调维修</t>
    <phoneticPr fontId="19" type="noConversion"/>
  </si>
  <si>
    <t>华信冷却泵配电柜主断路开关维修费</t>
    <phoneticPr fontId="19" type="noConversion"/>
  </si>
  <si>
    <t>第二期</t>
  </si>
  <si>
    <t>保安保洁礼仪服务费2025.4.10-2025.7.9日第二期</t>
    <phoneticPr fontId="4" type="noConversion"/>
  </si>
  <si>
    <t>公司园区南侧新增水景工程质保金</t>
    <phoneticPr fontId="19" type="noConversion"/>
  </si>
  <si>
    <t>付押金 首付款278988.49 总金额287616.74元</t>
    <phoneticPr fontId="19" type="noConversion"/>
  </si>
  <si>
    <t>2025.7月份水电五金耗材费</t>
    <phoneticPr fontId="19" type="noConversion"/>
  </si>
  <si>
    <t>华信厨房鱼缸制冷机维修</t>
    <phoneticPr fontId="19" type="noConversion"/>
  </si>
  <si>
    <r>
      <t>电梯维护费（餐梯）2025-2026年</t>
    </r>
    <r>
      <rPr>
        <sz val="10.5"/>
        <color indexed="8"/>
        <rFont val="宋体"/>
        <charset val="134"/>
      </rPr>
      <t>第一期费用</t>
    </r>
    <phoneticPr fontId="11" type="noConversion"/>
  </si>
  <si>
    <t>霍普曼</t>
    <phoneticPr fontId="19" type="noConversion"/>
  </si>
  <si>
    <t>电梯维护费（餐梯）2024-2025年第二期费用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</si>
  <si>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.11月-202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.11月首期虫控消杀服务费</t>
    </r>
    <phoneticPr fontId="11" type="noConversion"/>
  </si>
  <si>
    <t>首期</t>
    <phoneticPr fontId="19" type="noConversion"/>
  </si>
  <si>
    <t>30%荃恩冷水机组 尾款</t>
    <phoneticPr fontId="11" type="noConversion"/>
  </si>
  <si>
    <t>2024-2025年度中央空调保养服务（尾期维保款）</t>
    <phoneticPr fontId="19" type="noConversion"/>
  </si>
  <si>
    <t>2025.8月份水电五金耗材费</t>
    <phoneticPr fontId="19" type="noConversion"/>
  </si>
  <si>
    <t>2024-2025年度中央空调水系统保养服务（二期尾款）</t>
    <phoneticPr fontId="4" type="noConversion"/>
  </si>
  <si>
    <t>2024-2026消防维护保养服务费二期安全费</t>
    <phoneticPr fontId="4" type="noConversion"/>
  </si>
  <si>
    <r>
      <t>刘曲安全费 两年合同期</t>
    </r>
    <r>
      <rPr>
        <sz val="11"/>
        <rFont val="宋体"/>
        <charset val="134"/>
      </rPr>
      <t>50</t>
    </r>
    <r>
      <rPr>
        <sz val="11"/>
        <rFont val="宋体"/>
        <charset val="134"/>
      </rPr>
      <t>%</t>
    </r>
    <phoneticPr fontId="11" type="noConversion"/>
  </si>
  <si>
    <t>华信1号9号电梯轿厢空调维修</t>
    <phoneticPr fontId="19" type="noConversion"/>
  </si>
  <si>
    <t>刘曲 第一部分</t>
    <phoneticPr fontId="4" type="noConversion"/>
  </si>
  <si>
    <t>刘曲 第二部分</t>
    <phoneticPr fontId="4" type="noConversion"/>
  </si>
  <si>
    <t>2025.9月份水电五金耗材费</t>
    <phoneticPr fontId="19" type="noConversion"/>
  </si>
  <si>
    <t>华信咨询院部门调整搬运费</t>
    <phoneticPr fontId="19" type="noConversion"/>
  </si>
  <si>
    <r>
      <t>锁具零星维修费202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7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</t>
    </r>
    <phoneticPr fontId="4" type="noConversion"/>
  </si>
  <si>
    <t>2号楼宿舍门锁维修</t>
    <phoneticPr fontId="19" type="noConversion"/>
  </si>
  <si>
    <t>消防设施维修（安全费）</t>
    <phoneticPr fontId="11" type="noConversion"/>
  </si>
  <si>
    <r>
      <t>华信2</t>
    </r>
    <r>
      <rPr>
        <sz val="10.5"/>
        <color indexed="8"/>
        <rFont val="宋体"/>
        <charset val="134"/>
      </rPr>
      <t>025.5月-7月消防维修费（安全费）</t>
    </r>
    <phoneticPr fontId="11" type="noConversion"/>
  </si>
  <si>
    <t>刘曲 安华机电</t>
    <phoneticPr fontId="19" type="noConversion"/>
  </si>
  <si>
    <t>华信电梯监控设备维修费</t>
    <phoneticPr fontId="19" type="noConversion"/>
  </si>
  <si>
    <t>刘曲 盛驰</t>
    <phoneticPr fontId="19" type="noConversion"/>
  </si>
  <si>
    <t>第三期</t>
    <phoneticPr fontId="19" type="noConversion"/>
  </si>
  <si>
    <t>保安保洁礼仪服务费2025.7.10-2025.10.9日第三期</t>
    <phoneticPr fontId="4" type="noConversion"/>
  </si>
  <si>
    <t>华信新增离线式门锁</t>
    <phoneticPr fontId="4" type="noConversion"/>
  </si>
  <si>
    <t>2024年4月-9月室外绿化养护费首期</t>
    <phoneticPr fontId="4" type="noConversion"/>
  </si>
  <si>
    <t>2025年4月-2025年9月室内室外绿化养护费</t>
    <phoneticPr fontId="28" type="noConversion"/>
  </si>
  <si>
    <t>解除合同</t>
    <phoneticPr fontId="19" type="noConversion"/>
  </si>
  <si>
    <t>张建敏报销员工宿舍307宿舍空调安装费</t>
    <phoneticPr fontId="19" type="noConversion"/>
  </si>
  <si>
    <t>报销</t>
    <phoneticPr fontId="19" type="noConversion"/>
  </si>
  <si>
    <t>锅炉保养服务费2023-2024</t>
    <phoneticPr fontId="11" type="noConversion"/>
  </si>
  <si>
    <t xml:space="preserve">有合同 在宇机电 </t>
    <phoneticPr fontId="19" type="noConversion"/>
  </si>
  <si>
    <t>2025年空调零星维修费</t>
    <phoneticPr fontId="19" type="noConversion"/>
  </si>
  <si>
    <t>2025.10月份水电五金耗材费</t>
    <phoneticPr fontId="19" type="noConversion"/>
  </si>
  <si>
    <t>华信杂物电梯变频器维修</t>
    <phoneticPr fontId="19" type="noConversion"/>
  </si>
  <si>
    <t>刘曲 英韬</t>
    <phoneticPr fontId="19" type="noConversion"/>
  </si>
  <si>
    <t>刘曲 新源</t>
    <phoneticPr fontId="19" type="noConversion"/>
  </si>
  <si>
    <t>华信2027会议室设备维修</t>
    <phoneticPr fontId="19" type="noConversion"/>
  </si>
  <si>
    <t>华信LED大屏维修</t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</si>
  <si>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.4.8-202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.10.7日蒂升第一期电梯维护保养费</t>
    </r>
    <phoneticPr fontId="4" type="noConversion"/>
  </si>
  <si>
    <t>锁具零星维修费2025.9-11月</t>
    <phoneticPr fontId="19" type="noConversion"/>
  </si>
  <si>
    <r>
      <t>2025.1</t>
    </r>
    <r>
      <rPr>
        <sz val="10.5"/>
        <color indexed="8"/>
        <rFont val="宋体"/>
        <charset val="134"/>
      </rPr>
      <t>1</t>
    </r>
    <r>
      <rPr>
        <sz val="10.5"/>
        <color indexed="8"/>
        <rFont val="宋体"/>
        <charset val="134"/>
      </rPr>
      <t>月份水电五金耗材费</t>
    </r>
    <phoneticPr fontId="19" type="noConversion"/>
  </si>
  <si>
    <t>1460. 00</t>
  </si>
  <si>
    <t>锅炉维修</t>
    <phoneticPr fontId="19" type="noConversion"/>
  </si>
  <si>
    <r>
      <rPr>
        <sz val="11"/>
        <rFont val="宋体"/>
        <charset val="134"/>
      </rPr>
      <t>10</t>
    </r>
    <r>
      <rPr>
        <sz val="11"/>
        <rFont val="宋体"/>
        <charset val="134"/>
      </rPr>
      <t>0%</t>
    </r>
    <r>
      <rPr>
        <sz val="11"/>
        <rFont val="宋体"/>
        <charset val="134"/>
      </rPr>
      <t xml:space="preserve"> 北辰</t>
    </r>
    <phoneticPr fontId="11" type="noConversion"/>
  </si>
  <si>
    <t>高低配设备运维技术服务尾期维护费</t>
    <phoneticPr fontId="11" type="noConversion"/>
  </si>
  <si>
    <t>消防远程联网运营服务费</t>
    <phoneticPr fontId="19" type="noConversion"/>
  </si>
  <si>
    <t>北斗 第一笔</t>
    <phoneticPr fontId="19" type="noConversion"/>
  </si>
  <si>
    <t>分两笔（全额153825.46元）首笔：149979.82元97.5% 质保金：2.5%两年后付</t>
    <phoneticPr fontId="19" type="noConversion"/>
  </si>
  <si>
    <r>
      <t>刘曲 付款失败</t>
    </r>
    <r>
      <rPr>
        <sz val="11"/>
        <rFont val="宋体"/>
        <charset val="134"/>
      </rPr>
      <t xml:space="preserve"> 冲销重付款</t>
    </r>
    <r>
      <rPr>
        <sz val="11"/>
        <rFont val="宋体"/>
        <charset val="134"/>
      </rPr>
      <t xml:space="preserve"> 对方单位更名导致</t>
    </r>
    <phoneticPr fontId="19" type="noConversion"/>
  </si>
  <si>
    <r>
      <t>2</t>
    </r>
    <r>
      <rPr>
        <sz val="10.5"/>
        <color indexed="8"/>
        <rFont val="宋体"/>
        <charset val="134"/>
      </rPr>
      <t>025年非机动车棚新建工程</t>
    </r>
    <phoneticPr fontId="19" type="noConversion"/>
  </si>
  <si>
    <r>
      <t>华信2</t>
    </r>
    <r>
      <rPr>
        <sz val="10.5"/>
        <color indexed="8"/>
        <rFont val="宋体"/>
        <charset val="134"/>
      </rPr>
      <t>025.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月-</t>
    </r>
    <r>
      <rPr>
        <sz val="10.5"/>
        <color indexed="8"/>
        <rFont val="宋体"/>
        <charset val="134"/>
      </rPr>
      <t>10</t>
    </r>
    <r>
      <rPr>
        <sz val="10.5"/>
        <color indexed="8"/>
        <rFont val="宋体"/>
        <charset val="134"/>
      </rPr>
      <t>月消防维修费（安全费）</t>
    </r>
    <phoneticPr fontId="11" type="noConversion"/>
  </si>
  <si>
    <t>2024-2025年度中央空调保养服务（首期维保款）</t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</si>
  <si>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年度中央空调水系统保养服务（首期维保款）</t>
    </r>
    <phoneticPr fontId="4" type="noConversion"/>
  </si>
  <si>
    <r>
      <t>2025.12</t>
    </r>
    <r>
      <rPr>
        <sz val="10.5"/>
        <color indexed="8"/>
        <rFont val="宋体"/>
        <charset val="134"/>
      </rPr>
      <t>月份水电五金耗材费</t>
    </r>
    <phoneticPr fontId="19" type="noConversion"/>
  </si>
  <si>
    <r>
      <t>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年2.1日-202</t>
    </r>
    <r>
      <rPr>
        <sz val="10.5"/>
        <color indexed="8"/>
        <rFont val="宋体"/>
        <charset val="134"/>
      </rPr>
      <t>6</t>
    </r>
    <r>
      <rPr>
        <sz val="10.5"/>
        <color indexed="8"/>
        <rFont val="宋体"/>
        <charset val="134"/>
      </rPr>
      <t>年1.31日垃圾清运费</t>
    </r>
    <phoneticPr fontId="11" type="noConversion"/>
  </si>
  <si>
    <t>公司电梯维修</t>
    <phoneticPr fontId="19" type="noConversion"/>
  </si>
  <si>
    <t>报告厅空调维修</t>
    <phoneticPr fontId="19" type="noConversion"/>
  </si>
  <si>
    <t>尾期</t>
    <phoneticPr fontId="19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</si>
  <si>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.11月-202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.11月虫控消杀尾期服务费</t>
    </r>
    <phoneticPr fontId="11" type="noConversion"/>
  </si>
  <si>
    <t>公司停车系统服务器维修</t>
    <phoneticPr fontId="19" type="noConversion"/>
  </si>
  <si>
    <t>刘曲 立方</t>
    <phoneticPr fontId="19" type="noConversion"/>
  </si>
  <si>
    <t>5-12月零星维修</t>
    <phoneticPr fontId="19" type="noConversion"/>
  </si>
  <si>
    <t>中央空调群控模块维修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</si>
</sst>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_ "/>
  </numFmts>
  <fonts count="61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10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0.5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NSimSun"/>
      <family val="3"/>
    </font>
  </fonts>
  <fills count="1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3" fillId="0" borderId="0"/>
  </cellStyleXfs>
  <cellXfs count="1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176" fontId="5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76" fontId="56" fillId="5" borderId="1" xfId="0" applyNumberFormat="1" applyFont="1" applyFill="1" applyBorder="1" applyAlignment="1">
      <alignment horizontal="left" vertical="center"/>
    </xf>
    <xf numFmtId="0" fontId="56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0" fontId="57" fillId="6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176" fontId="56" fillId="5" borderId="0" xfId="0" applyNumberFormat="1" applyFont="1" applyFill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left" vertical="center"/>
    </xf>
    <xf numFmtId="177" fontId="56" fillId="5" borderId="1" xfId="0" applyNumberFormat="1" applyFont="1" applyFill="1" applyBorder="1" applyAlignment="1">
      <alignment horizontal="left" vertical="center"/>
    </xf>
    <xf numFmtId="176" fontId="57" fillId="5" borderId="2" xfId="0" applyNumberFormat="1" applyFont="1" applyFill="1" applyBorder="1" applyAlignment="1">
      <alignment horizontal="left" vertical="center"/>
    </xf>
    <xf numFmtId="9" fontId="56" fillId="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7" fillId="8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57" fillId="5" borderId="4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5" borderId="0" xfId="0" applyNumberFormat="1" applyFont="1" applyFill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57" fillId="10" borderId="2" xfId="0" applyFont="1" applyFill="1" applyBorder="1" applyAlignment="1">
      <alignment horizontal="center" vertical="center"/>
    </xf>
    <xf numFmtId="0" fontId="57" fillId="9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 wrapText="1"/>
    </xf>
    <xf numFmtId="0" fontId="57" fillId="11" borderId="2" xfId="0" applyFont="1" applyFill="1" applyBorder="1" applyAlignment="1">
      <alignment horizontal="center" vertical="center"/>
    </xf>
    <xf numFmtId="176" fontId="0" fillId="11" borderId="1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left" vertical="center"/>
    </xf>
    <xf numFmtId="176" fontId="57" fillId="11" borderId="2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57" fillId="4" borderId="2" xfId="0" applyFont="1" applyFill="1" applyBorder="1" applyAlignment="1">
      <alignment horizontal="center" vertical="center"/>
    </xf>
    <xf numFmtId="176" fontId="55" fillId="5" borderId="1" xfId="0" applyNumberFormat="1" applyFont="1" applyFill="1" applyBorder="1" applyAlignment="1">
      <alignment horizontal="left" vertical="center"/>
    </xf>
    <xf numFmtId="17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77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57" fillId="12" borderId="2" xfId="0" applyFont="1" applyFill="1" applyBorder="1" applyAlignment="1">
      <alignment horizontal="center" vertical="center"/>
    </xf>
    <xf numFmtId="176" fontId="0" fillId="12" borderId="1" xfId="0" applyNumberFormat="1" applyFont="1" applyFill="1" applyBorder="1" applyAlignment="1">
      <alignment horizontal="left" vertical="center"/>
    </xf>
    <xf numFmtId="176" fontId="57" fillId="12" borderId="2" xfId="0" applyNumberFormat="1" applyFont="1" applyFill="1" applyBorder="1" applyAlignment="1">
      <alignment horizontal="left" vertical="center"/>
    </xf>
    <xf numFmtId="176" fontId="0" fillId="5" borderId="3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8" fillId="5" borderId="2" xfId="0" applyFont="1" applyFill="1" applyBorder="1" applyAlignment="1">
      <alignment horizontal="center" vertical="center"/>
    </xf>
    <xf numFmtId="0" fontId="58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56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57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76" fontId="56" fillId="5" borderId="0" xfId="0" applyNumberFormat="1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7" fillId="3" borderId="2" xfId="0" applyFont="1" applyFill="1" applyBorder="1" applyAlignment="1">
      <alignment horizontal="center" vertical="center"/>
    </xf>
    <xf numFmtId="9" fontId="56" fillId="5" borderId="1" xfId="0" applyNumberFormat="1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7" fillId="8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176" fontId="56" fillId="5" borderId="1" xfId="0" applyNumberFormat="1" applyFont="1" applyFill="1" applyBorder="1" applyAlignment="1">
      <alignment horizontal="left" vertical="center"/>
    </xf>
    <xf numFmtId="0" fontId="56" fillId="5" borderId="1" xfId="0" applyFont="1" applyFill="1" applyBorder="1" applyAlignment="1">
      <alignment horizontal="left" vertical="center"/>
    </xf>
    <xf numFmtId="0" fontId="57" fillId="3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7" fillId="13" borderId="2" xfId="0" applyFont="1" applyFill="1" applyBorder="1" applyAlignment="1">
      <alignment horizontal="center" vertical="center"/>
    </xf>
    <xf numFmtId="0" fontId="57" fillId="14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5" fillId="5" borderId="1" xfId="0" applyFont="1" applyFill="1" applyBorder="1" applyAlignment="1">
      <alignment vertical="center"/>
    </xf>
    <xf numFmtId="0" fontId="57" fillId="3" borderId="2" xfId="0" applyFont="1" applyFill="1" applyBorder="1" applyAlignment="1">
      <alignment horizontal="center" vertical="center"/>
    </xf>
    <xf numFmtId="9" fontId="56" fillId="5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0" fontId="57" fillId="8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5" fillId="5" borderId="1" xfId="0" applyFont="1" applyFill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38" fillId="5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57" fillId="3" borderId="2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0" fontId="57" fillId="13" borderId="2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9" fontId="56" fillId="5" borderId="1" xfId="0" applyNumberFormat="1" applyFont="1" applyFill="1" applyBorder="1" applyAlignment="1">
      <alignment horizontal="left" vertical="center"/>
    </xf>
    <xf numFmtId="0" fontId="57" fillId="3" borderId="2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9" fontId="56" fillId="5" borderId="1" xfId="0" applyNumberFormat="1" applyFont="1" applyFill="1" applyBorder="1" applyAlignment="1">
      <alignment horizontal="left" vertical="center" wrapText="1"/>
    </xf>
    <xf numFmtId="0" fontId="49" fillId="10" borderId="2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/>
    </xf>
    <xf numFmtId="0" fontId="57" fillId="8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56" fillId="15" borderId="1" xfId="0" applyNumberFormat="1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5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opLeftCell="A70" zoomScaleSheetLayoutView="100" workbookViewId="0">
      <selection activeCell="B12" sqref="B12"/>
    </sheetView>
  </sheetViews>
  <sheetFormatPr defaultColWidth="9" defaultRowHeight="13.5"/>
  <cols>
    <col min="1" max="1" width="6.5" customWidth="1"/>
    <col min="2" max="2" width="52" customWidth="1"/>
    <col min="3" max="3" width="15.75" style="43" customWidth="1"/>
    <col min="4" max="4" width="16.375" customWidth="1"/>
    <col min="5" max="7" width="11.625" customWidth="1"/>
  </cols>
  <sheetData>
    <row r="1" spans="1:7">
      <c r="A1" s="134" t="s">
        <v>0</v>
      </c>
      <c r="B1" s="134"/>
      <c r="C1" s="134"/>
      <c r="D1" s="134"/>
    </row>
    <row r="2" spans="1:7">
      <c r="A2" s="4" t="s">
        <v>1</v>
      </c>
      <c r="B2" s="4" t="s">
        <v>2</v>
      </c>
      <c r="C2" s="5" t="s">
        <v>3</v>
      </c>
      <c r="D2" s="4" t="s">
        <v>4</v>
      </c>
    </row>
    <row r="3" spans="1:7">
      <c r="A3" s="135" t="s">
        <v>5</v>
      </c>
      <c r="B3" s="14" t="s">
        <v>6</v>
      </c>
      <c r="C3" s="17">
        <v>4891</v>
      </c>
      <c r="D3" s="44"/>
    </row>
    <row r="4" spans="1:7">
      <c r="A4" s="136"/>
      <c r="B4" s="14" t="s">
        <v>7</v>
      </c>
      <c r="C4" s="17">
        <v>9300</v>
      </c>
      <c r="D4" s="51"/>
    </row>
    <row r="5" spans="1:7">
      <c r="A5" s="136"/>
      <c r="B5" s="14" t="s">
        <v>8</v>
      </c>
      <c r="C5" s="17">
        <v>1050</v>
      </c>
      <c r="D5" s="51"/>
    </row>
    <row r="6" spans="1:7">
      <c r="A6" s="137"/>
      <c r="B6" s="14" t="s">
        <v>9</v>
      </c>
      <c r="C6" s="17">
        <v>3390</v>
      </c>
      <c r="D6" s="49"/>
    </row>
    <row r="7" spans="1:7">
      <c r="A7" s="135" t="s">
        <v>10</v>
      </c>
      <c r="B7" s="14" t="s">
        <v>11</v>
      </c>
      <c r="C7" s="17">
        <v>84500</v>
      </c>
      <c r="D7" s="44">
        <f>C7</f>
        <v>84500</v>
      </c>
    </row>
    <row r="8" spans="1:7">
      <c r="A8" s="137"/>
      <c r="B8" s="60" t="s">
        <v>12</v>
      </c>
      <c r="C8" s="47">
        <v>305032.59000000003</v>
      </c>
      <c r="D8" s="49"/>
    </row>
    <row r="9" spans="1:7">
      <c r="A9" s="135" t="s">
        <v>13</v>
      </c>
      <c r="B9" s="14" t="s">
        <v>14</v>
      </c>
      <c r="C9" s="17">
        <v>1950</v>
      </c>
      <c r="D9" s="44">
        <f>SUM(C12:C17,C9)</f>
        <v>178281</v>
      </c>
    </row>
    <row r="10" spans="1:7">
      <c r="A10" s="136"/>
      <c r="B10" s="60" t="s">
        <v>15</v>
      </c>
      <c r="C10" s="47">
        <v>395151.75</v>
      </c>
      <c r="D10" s="51"/>
    </row>
    <row r="11" spans="1:7">
      <c r="A11" s="136"/>
      <c r="B11" s="60" t="s">
        <v>16</v>
      </c>
      <c r="C11" s="47">
        <v>72837</v>
      </c>
      <c r="D11" s="51"/>
      <c r="E11" s="52"/>
    </row>
    <row r="12" spans="1:7">
      <c r="A12" s="136"/>
      <c r="B12" s="14" t="s">
        <v>17</v>
      </c>
      <c r="C12" s="17">
        <v>111500</v>
      </c>
      <c r="D12" s="51"/>
      <c r="E12" s="52"/>
      <c r="F12" s="52"/>
      <c r="G12" s="52"/>
    </row>
    <row r="13" spans="1:7">
      <c r="A13" s="136"/>
      <c r="B13" s="14" t="s">
        <v>18</v>
      </c>
      <c r="C13" s="17">
        <v>1380</v>
      </c>
      <c r="D13" s="51"/>
    </row>
    <row r="14" spans="1:7">
      <c r="A14" s="136"/>
      <c r="B14" s="14" t="s">
        <v>19</v>
      </c>
      <c r="C14" s="17">
        <v>4294</v>
      </c>
      <c r="D14" s="51"/>
    </row>
    <row r="15" spans="1:7">
      <c r="A15" s="136"/>
      <c r="B15" s="14" t="s">
        <v>20</v>
      </c>
      <c r="C15" s="17">
        <v>300</v>
      </c>
      <c r="D15" s="51"/>
    </row>
    <row r="16" spans="1:7">
      <c r="A16" s="136"/>
      <c r="B16" s="14" t="s">
        <v>21</v>
      </c>
      <c r="C16" s="17">
        <v>57857</v>
      </c>
      <c r="D16" s="51"/>
    </row>
    <row r="17" spans="1:4">
      <c r="A17" s="137"/>
      <c r="B17" s="14" t="s">
        <v>22</v>
      </c>
      <c r="C17" s="17">
        <v>1000</v>
      </c>
      <c r="D17" s="49"/>
    </row>
    <row r="18" spans="1:4">
      <c r="A18" s="135" t="s">
        <v>23</v>
      </c>
      <c r="B18" s="14" t="s">
        <v>24</v>
      </c>
      <c r="C18" s="17">
        <v>24000</v>
      </c>
      <c r="D18" s="138"/>
    </row>
    <row r="19" spans="1:4">
      <c r="A19" s="136"/>
      <c r="B19" s="14" t="s">
        <v>25</v>
      </c>
      <c r="C19" s="17">
        <v>365</v>
      </c>
      <c r="D19" s="136"/>
    </row>
    <row r="20" spans="1:4">
      <c r="A20" s="136"/>
      <c r="B20" s="14" t="s">
        <v>26</v>
      </c>
      <c r="C20" s="17">
        <v>2895</v>
      </c>
      <c r="D20" s="136"/>
    </row>
    <row r="21" spans="1:4">
      <c r="A21" s="136"/>
      <c r="B21" s="14" t="s">
        <v>27</v>
      </c>
      <c r="C21" s="17">
        <v>46989</v>
      </c>
      <c r="D21" s="136"/>
    </row>
    <row r="22" spans="1:4">
      <c r="A22" s="136"/>
      <c r="B22" s="14" t="s">
        <v>28</v>
      </c>
      <c r="C22" s="17">
        <v>26511</v>
      </c>
      <c r="D22" s="136"/>
    </row>
    <row r="23" spans="1:4">
      <c r="A23" s="136"/>
      <c r="B23" s="14" t="s">
        <v>29</v>
      </c>
      <c r="C23" s="17">
        <v>500</v>
      </c>
      <c r="D23" s="136"/>
    </row>
    <row r="24" spans="1:4">
      <c r="A24" s="136"/>
      <c r="B24" s="14" t="s">
        <v>30</v>
      </c>
      <c r="C24" s="17">
        <v>3960</v>
      </c>
      <c r="D24" s="136"/>
    </row>
    <row r="25" spans="1:4">
      <c r="A25" s="136"/>
      <c r="B25" s="60" t="s">
        <v>31</v>
      </c>
      <c r="C25" s="47">
        <v>305032.59000000003</v>
      </c>
      <c r="D25" s="136"/>
    </row>
    <row r="26" spans="1:4">
      <c r="A26" s="136"/>
      <c r="B26" s="14" t="s">
        <v>32</v>
      </c>
      <c r="C26" s="17">
        <v>5000</v>
      </c>
      <c r="D26" s="136"/>
    </row>
    <row r="27" spans="1:4">
      <c r="A27" s="136"/>
      <c r="B27" s="14" t="s">
        <v>33</v>
      </c>
      <c r="C27" s="17">
        <v>2427.5</v>
      </c>
      <c r="D27" s="136"/>
    </row>
    <row r="28" spans="1:4">
      <c r="A28" s="137"/>
      <c r="B28" s="14" t="s">
        <v>34</v>
      </c>
      <c r="C28" s="17">
        <v>15900</v>
      </c>
      <c r="D28" s="137"/>
    </row>
    <row r="29" spans="1:4">
      <c r="A29" s="135" t="s">
        <v>35</v>
      </c>
      <c r="B29" s="14" t="s">
        <v>36</v>
      </c>
      <c r="C29" s="17">
        <v>67135.710000000006</v>
      </c>
      <c r="D29" s="135"/>
    </row>
    <row r="30" spans="1:4">
      <c r="A30" s="136"/>
      <c r="B30" s="14" t="s">
        <v>37</v>
      </c>
      <c r="C30" s="17">
        <v>4200</v>
      </c>
      <c r="D30" s="136"/>
    </row>
    <row r="31" spans="1:4">
      <c r="A31" s="136"/>
      <c r="B31" s="14" t="s">
        <v>38</v>
      </c>
      <c r="C31" s="17">
        <v>26997.9</v>
      </c>
      <c r="D31" s="136"/>
    </row>
    <row r="32" spans="1:4">
      <c r="A32" s="136"/>
      <c r="B32" s="14" t="s">
        <v>39</v>
      </c>
      <c r="C32" s="17">
        <v>13972</v>
      </c>
      <c r="D32" s="136"/>
    </row>
    <row r="33" spans="1:4" ht="25.5">
      <c r="A33" s="136"/>
      <c r="B33" s="61" t="s">
        <v>40</v>
      </c>
      <c r="C33" s="47">
        <v>395151.75</v>
      </c>
      <c r="D33" s="136"/>
    </row>
    <row r="34" spans="1:4">
      <c r="A34" s="136"/>
      <c r="B34" s="60" t="s">
        <v>41</v>
      </c>
      <c r="C34" s="47">
        <v>72837</v>
      </c>
      <c r="D34" s="136"/>
    </row>
    <row r="35" spans="1:4">
      <c r="A35" s="137"/>
      <c r="B35" s="14" t="s">
        <v>42</v>
      </c>
      <c r="C35" s="17">
        <v>26560</v>
      </c>
      <c r="D35" s="137"/>
    </row>
    <row r="36" spans="1:4">
      <c r="A36" s="139" t="s">
        <v>43</v>
      </c>
      <c r="B36" s="14" t="s">
        <v>44</v>
      </c>
      <c r="C36" s="17">
        <v>6758</v>
      </c>
      <c r="D36" s="139"/>
    </row>
    <row r="37" spans="1:4" ht="25.5">
      <c r="A37" s="139"/>
      <c r="B37" s="36" t="s">
        <v>45</v>
      </c>
      <c r="C37" s="17">
        <v>46300.800000000003</v>
      </c>
      <c r="D37" s="139"/>
    </row>
    <row r="38" spans="1:4">
      <c r="A38" s="139"/>
      <c r="B38" s="14" t="s">
        <v>46</v>
      </c>
      <c r="C38" s="17">
        <v>4008</v>
      </c>
      <c r="D38" s="139"/>
    </row>
    <row r="39" spans="1:4">
      <c r="A39" s="139"/>
      <c r="B39" s="14" t="s">
        <v>47</v>
      </c>
      <c r="C39" s="17">
        <v>60913.99</v>
      </c>
      <c r="D39" s="139"/>
    </row>
    <row r="40" spans="1:4">
      <c r="A40" s="139"/>
      <c r="B40" s="14" t="s">
        <v>48</v>
      </c>
      <c r="C40" s="17">
        <v>21255</v>
      </c>
      <c r="D40" s="139"/>
    </row>
    <row r="41" spans="1:4">
      <c r="A41" s="139"/>
      <c r="B41" s="36" t="s">
        <v>49</v>
      </c>
      <c r="C41" s="17">
        <v>39525</v>
      </c>
      <c r="D41" s="139"/>
    </row>
    <row r="42" spans="1:4">
      <c r="A42" s="139"/>
      <c r="B42" s="14" t="s">
        <v>50</v>
      </c>
      <c r="C42" s="17">
        <v>3498</v>
      </c>
      <c r="D42" s="139"/>
    </row>
    <row r="43" spans="1:4">
      <c r="A43" s="139"/>
      <c r="B43" s="14" t="s">
        <v>51</v>
      </c>
      <c r="C43" s="17">
        <v>7500</v>
      </c>
      <c r="D43" s="139"/>
    </row>
    <row r="44" spans="1:4">
      <c r="A44" s="135" t="s">
        <v>52</v>
      </c>
      <c r="B44" s="14" t="s">
        <v>53</v>
      </c>
      <c r="C44" s="17">
        <v>660</v>
      </c>
      <c r="D44" s="139"/>
    </row>
    <row r="45" spans="1:4">
      <c r="A45" s="136"/>
      <c r="B45" s="14" t="s">
        <v>54</v>
      </c>
      <c r="C45" s="17">
        <v>69650</v>
      </c>
      <c r="D45" s="139"/>
    </row>
    <row r="46" spans="1:4">
      <c r="A46" s="136"/>
      <c r="B46" s="14" t="s">
        <v>55</v>
      </c>
      <c r="C46" s="17">
        <v>470595.5</v>
      </c>
      <c r="D46" s="139"/>
    </row>
    <row r="47" spans="1:4">
      <c r="A47" s="136"/>
      <c r="B47" s="14" t="s">
        <v>56</v>
      </c>
      <c r="C47" s="17">
        <v>20730</v>
      </c>
      <c r="D47" s="139"/>
    </row>
    <row r="48" spans="1:4">
      <c r="A48" s="136"/>
      <c r="B48" s="14" t="s">
        <v>57</v>
      </c>
      <c r="C48" s="17">
        <v>48734</v>
      </c>
      <c r="D48" s="139"/>
    </row>
    <row r="49" spans="1:4">
      <c r="A49" s="136"/>
      <c r="B49" s="14" t="s">
        <v>58</v>
      </c>
      <c r="C49" s="17">
        <v>3000</v>
      </c>
      <c r="D49" s="139"/>
    </row>
    <row r="50" spans="1:4">
      <c r="A50" s="136"/>
      <c r="B50" s="14" t="s">
        <v>59</v>
      </c>
      <c r="C50" s="17">
        <v>600</v>
      </c>
      <c r="D50" s="139"/>
    </row>
    <row r="51" spans="1:4">
      <c r="A51" s="136"/>
      <c r="B51" s="60" t="s">
        <v>60</v>
      </c>
      <c r="C51" s="47">
        <v>305032.59000000003</v>
      </c>
      <c r="D51" s="139"/>
    </row>
    <row r="52" spans="1:4">
      <c r="A52" s="136"/>
      <c r="B52" s="14" t="s">
        <v>61</v>
      </c>
      <c r="C52" s="17">
        <v>1685</v>
      </c>
      <c r="D52" s="139"/>
    </row>
    <row r="53" spans="1:4">
      <c r="A53" s="136"/>
      <c r="B53" s="14" t="s">
        <v>62</v>
      </c>
      <c r="C53" s="17">
        <v>47618.66</v>
      </c>
      <c r="D53" s="139"/>
    </row>
    <row r="54" spans="1:4">
      <c r="A54" s="139" t="s">
        <v>63</v>
      </c>
      <c r="B54" s="14" t="s">
        <v>64</v>
      </c>
      <c r="C54" s="17">
        <v>1050</v>
      </c>
      <c r="D54" s="139"/>
    </row>
    <row r="55" spans="1:4">
      <c r="A55" s="139"/>
      <c r="B55" s="14" t="s">
        <v>65</v>
      </c>
      <c r="C55" s="17">
        <v>900</v>
      </c>
      <c r="D55" s="139"/>
    </row>
    <row r="56" spans="1:4">
      <c r="A56" s="139"/>
      <c r="B56" s="14" t="s">
        <v>66</v>
      </c>
      <c r="C56" s="17">
        <v>1311</v>
      </c>
      <c r="D56" s="139"/>
    </row>
    <row r="57" spans="1:4">
      <c r="A57" s="139"/>
      <c r="B57" s="14" t="s">
        <v>67</v>
      </c>
      <c r="C57" s="17">
        <v>466</v>
      </c>
      <c r="D57" s="139"/>
    </row>
    <row r="58" spans="1:4">
      <c r="A58" s="139"/>
      <c r="B58" s="14" t="s">
        <v>68</v>
      </c>
      <c r="C58" s="17">
        <v>48734</v>
      </c>
      <c r="D58" s="139"/>
    </row>
    <row r="59" spans="1:4">
      <c r="A59" s="139"/>
      <c r="B59" s="14" t="s">
        <v>69</v>
      </c>
      <c r="C59" s="17">
        <v>60100</v>
      </c>
      <c r="D59" s="139"/>
    </row>
    <row r="60" spans="1:4">
      <c r="A60" s="139"/>
      <c r="B60" s="14" t="s">
        <v>70</v>
      </c>
      <c r="C60" s="17">
        <v>44153</v>
      </c>
      <c r="D60" s="139"/>
    </row>
    <row r="61" spans="1:4">
      <c r="A61" s="139"/>
      <c r="B61" s="14" t="s">
        <v>71</v>
      </c>
      <c r="C61" s="17">
        <v>8000</v>
      </c>
      <c r="D61" s="139"/>
    </row>
    <row r="62" spans="1:4">
      <c r="A62" s="139"/>
      <c r="B62" s="14" t="s">
        <v>72</v>
      </c>
      <c r="C62" s="17">
        <v>5632</v>
      </c>
      <c r="D62" s="139"/>
    </row>
    <row r="63" spans="1:4">
      <c r="A63" s="139"/>
      <c r="B63" s="14" t="s">
        <v>73</v>
      </c>
      <c r="C63" s="17">
        <v>4704</v>
      </c>
      <c r="D63" s="139"/>
    </row>
    <row r="64" spans="1:4">
      <c r="A64" s="139"/>
      <c r="B64" s="14" t="s">
        <v>74</v>
      </c>
      <c r="C64" s="17">
        <v>24380</v>
      </c>
      <c r="D64" s="139"/>
    </row>
    <row r="65" spans="1:4">
      <c r="A65" s="135" t="s">
        <v>75</v>
      </c>
      <c r="B65" s="14" t="s">
        <v>76</v>
      </c>
      <c r="C65" s="17">
        <v>111500</v>
      </c>
      <c r="D65" s="135"/>
    </row>
    <row r="66" spans="1:4">
      <c r="A66" s="136"/>
      <c r="B66" s="14" t="s">
        <v>77</v>
      </c>
      <c r="C66" s="17">
        <v>25269.9</v>
      </c>
      <c r="D66" s="136"/>
    </row>
    <row r="67" spans="1:4">
      <c r="A67" s="136"/>
      <c r="B67" s="14" t="s">
        <v>78</v>
      </c>
      <c r="C67" s="17">
        <v>29129.62</v>
      </c>
      <c r="D67" s="136"/>
    </row>
    <row r="68" spans="1:4">
      <c r="A68" s="136"/>
      <c r="B68" s="14" t="s">
        <v>79</v>
      </c>
      <c r="C68" s="17">
        <v>14125.29</v>
      </c>
      <c r="D68" s="136"/>
    </row>
    <row r="69" spans="1:4">
      <c r="A69" s="136"/>
      <c r="B69" s="14" t="s">
        <v>80</v>
      </c>
      <c r="C69" s="17">
        <v>26271.02</v>
      </c>
      <c r="D69" s="136"/>
    </row>
    <row r="70" spans="1:4">
      <c r="A70" s="136"/>
      <c r="B70" s="14" t="s">
        <v>81</v>
      </c>
      <c r="C70" s="17">
        <v>21610.78</v>
      </c>
      <c r="D70" s="136"/>
    </row>
    <row r="71" spans="1:4">
      <c r="A71" s="136"/>
      <c r="B71" s="14" t="s">
        <v>82</v>
      </c>
      <c r="C71" s="17">
        <v>4067.8</v>
      </c>
      <c r="D71" s="136"/>
    </row>
    <row r="72" spans="1:4">
      <c r="A72" s="136"/>
      <c r="B72" s="14" t="s">
        <v>83</v>
      </c>
      <c r="C72" s="17">
        <v>47691.39</v>
      </c>
      <c r="D72" s="136"/>
    </row>
    <row r="73" spans="1:4">
      <c r="A73" s="136"/>
      <c r="B73" s="14" t="s">
        <v>84</v>
      </c>
      <c r="C73" s="17">
        <v>47002.5</v>
      </c>
      <c r="D73" s="136"/>
    </row>
    <row r="74" spans="1:4">
      <c r="A74" s="136"/>
      <c r="B74" s="14" t="s">
        <v>85</v>
      </c>
      <c r="C74" s="17">
        <v>1800</v>
      </c>
      <c r="D74" s="136"/>
    </row>
    <row r="75" spans="1:4">
      <c r="A75" s="136"/>
      <c r="B75" s="14" t="s">
        <v>86</v>
      </c>
      <c r="C75" s="17">
        <v>36474.9</v>
      </c>
      <c r="D75" s="136"/>
    </row>
    <row r="76" spans="1:4">
      <c r="A76" s="136"/>
      <c r="B76" s="14" t="s">
        <v>87</v>
      </c>
      <c r="C76" s="17">
        <v>4974</v>
      </c>
      <c r="D76" s="136"/>
    </row>
    <row r="77" spans="1:4">
      <c r="A77" s="136"/>
      <c r="B77" s="14" t="s">
        <v>88</v>
      </c>
      <c r="C77" s="17">
        <v>1400</v>
      </c>
      <c r="D77" s="136"/>
    </row>
    <row r="78" spans="1:4">
      <c r="A78" s="136"/>
      <c r="B78" s="14" t="s">
        <v>89</v>
      </c>
      <c r="C78" s="17">
        <v>46475</v>
      </c>
      <c r="D78" s="136"/>
    </row>
    <row r="79" spans="1:4">
      <c r="A79" s="136"/>
      <c r="B79" s="14" t="s">
        <v>90</v>
      </c>
      <c r="C79" s="17">
        <v>4113.2</v>
      </c>
      <c r="D79" s="136"/>
    </row>
    <row r="80" spans="1:4">
      <c r="A80" s="136"/>
      <c r="B80" s="14" t="s">
        <v>91</v>
      </c>
      <c r="C80" s="17">
        <v>10840</v>
      </c>
      <c r="D80" s="136"/>
    </row>
    <row r="81" spans="1:4">
      <c r="A81" s="136"/>
      <c r="B81" s="14" t="s">
        <v>92</v>
      </c>
      <c r="C81" s="17">
        <v>7090.5</v>
      </c>
      <c r="D81" s="136"/>
    </row>
    <row r="82" spans="1:4">
      <c r="A82" s="136"/>
      <c r="B82" s="14" t="s">
        <v>93</v>
      </c>
      <c r="C82" s="17">
        <v>2926.7</v>
      </c>
      <c r="D82" s="136"/>
    </row>
    <row r="83" spans="1:4">
      <c r="A83" s="136"/>
      <c r="B83" s="60" t="s">
        <v>94</v>
      </c>
      <c r="C83" s="47">
        <v>18516.98</v>
      </c>
      <c r="D83" s="136"/>
    </row>
    <row r="84" spans="1:4">
      <c r="A84" s="136"/>
      <c r="B84" s="60" t="s">
        <v>95</v>
      </c>
      <c r="C84" s="47">
        <v>395151.75</v>
      </c>
      <c r="D84" s="136"/>
    </row>
    <row r="85" spans="1:4">
      <c r="A85" s="136"/>
      <c r="B85" s="61" t="s">
        <v>96</v>
      </c>
      <c r="C85" s="47">
        <v>72837</v>
      </c>
      <c r="D85" s="136"/>
    </row>
    <row r="86" spans="1:4">
      <c r="A86" s="139" t="s">
        <v>97</v>
      </c>
      <c r="B86" s="14" t="s">
        <v>98</v>
      </c>
      <c r="C86" s="17">
        <v>1752</v>
      </c>
      <c r="D86" s="139"/>
    </row>
    <row r="87" spans="1:4">
      <c r="A87" s="139"/>
      <c r="B87" s="14" t="s">
        <v>99</v>
      </c>
      <c r="C87" s="17">
        <v>47303.01</v>
      </c>
      <c r="D87" s="139"/>
    </row>
    <row r="88" spans="1:4">
      <c r="A88" s="139"/>
      <c r="B88" s="14" t="s">
        <v>100</v>
      </c>
      <c r="C88" s="17">
        <v>3790</v>
      </c>
      <c r="D88" s="139"/>
    </row>
    <row r="89" spans="1:4">
      <c r="A89" s="139"/>
      <c r="B89" s="14" t="s">
        <v>101</v>
      </c>
      <c r="C89" s="17">
        <v>2220</v>
      </c>
      <c r="D89" s="139"/>
    </row>
    <row r="90" spans="1:4">
      <c r="A90" s="136"/>
      <c r="B90" s="14" t="s">
        <v>102</v>
      </c>
      <c r="C90" s="17">
        <v>5000</v>
      </c>
      <c r="D90" s="139"/>
    </row>
    <row r="91" spans="1:4">
      <c r="A91" s="136"/>
      <c r="B91" s="14" t="s">
        <v>103</v>
      </c>
      <c r="C91" s="17">
        <v>15900</v>
      </c>
      <c r="D91" s="139"/>
    </row>
    <row r="92" spans="1:4">
      <c r="A92" s="136"/>
      <c r="B92" s="14" t="s">
        <v>104</v>
      </c>
      <c r="C92" s="17">
        <v>55000</v>
      </c>
      <c r="D92" s="139"/>
    </row>
    <row r="93" spans="1:4">
      <c r="A93" s="136"/>
      <c r="B93" s="14" t="s">
        <v>105</v>
      </c>
      <c r="C93" s="17">
        <v>2900</v>
      </c>
      <c r="D93" s="139"/>
    </row>
    <row r="94" spans="1:4">
      <c r="A94" s="136"/>
      <c r="B94" s="14" t="s">
        <v>106</v>
      </c>
      <c r="C94" s="17">
        <v>1800</v>
      </c>
      <c r="D94" s="139"/>
    </row>
    <row r="95" spans="1:4">
      <c r="A95" s="136"/>
      <c r="B95" s="14" t="s">
        <v>107</v>
      </c>
      <c r="C95" s="17">
        <v>133058</v>
      </c>
      <c r="D95" s="139"/>
    </row>
    <row r="96" spans="1:4">
      <c r="A96" s="136"/>
      <c r="B96" s="14" t="s">
        <v>108</v>
      </c>
      <c r="C96" s="17">
        <v>23032.799999999999</v>
      </c>
      <c r="D96" s="139"/>
    </row>
    <row r="97" spans="1:4">
      <c r="A97" s="136"/>
      <c r="B97" s="14" t="s">
        <v>109</v>
      </c>
      <c r="C97" s="17">
        <v>28800</v>
      </c>
      <c r="D97" s="139"/>
    </row>
    <row r="98" spans="1:4">
      <c r="A98" s="136"/>
      <c r="B98" s="14" t="s">
        <v>110</v>
      </c>
      <c r="C98" s="17">
        <v>47000</v>
      </c>
      <c r="D98" s="139"/>
    </row>
    <row r="99" spans="1:4">
      <c r="A99" s="136"/>
      <c r="B99" s="14" t="s">
        <v>111</v>
      </c>
      <c r="C99" s="17">
        <v>48804.49</v>
      </c>
      <c r="D99" s="139"/>
    </row>
    <row r="100" spans="1:4">
      <c r="A100" s="135" t="s">
        <v>112</v>
      </c>
      <c r="B100" s="14" t="s">
        <v>113</v>
      </c>
      <c r="C100" s="17">
        <v>46390</v>
      </c>
      <c r="D100" s="139"/>
    </row>
    <row r="101" spans="1:4">
      <c r="A101" s="136"/>
      <c r="B101" s="14" t="s">
        <v>114</v>
      </c>
      <c r="C101" s="17">
        <v>8800</v>
      </c>
      <c r="D101" s="139"/>
    </row>
    <row r="102" spans="1:4">
      <c r="A102" s="136"/>
      <c r="B102" s="14" t="s">
        <v>115</v>
      </c>
      <c r="C102" s="17">
        <v>97039</v>
      </c>
      <c r="D102" s="139"/>
    </row>
    <row r="103" spans="1:4">
      <c r="A103" s="136"/>
      <c r="B103" s="14" t="s">
        <v>116</v>
      </c>
      <c r="C103" s="17">
        <v>1200</v>
      </c>
      <c r="D103" s="139"/>
    </row>
    <row r="104" spans="1:4">
      <c r="A104" s="136"/>
      <c r="B104" s="60" t="s">
        <v>117</v>
      </c>
      <c r="C104" s="17">
        <v>18516.98</v>
      </c>
      <c r="D104" s="139"/>
    </row>
    <row r="105" spans="1:4">
      <c r="A105" s="136"/>
      <c r="B105" s="14" t="s">
        <v>118</v>
      </c>
      <c r="C105" s="17">
        <v>68500</v>
      </c>
      <c r="D105" s="139"/>
    </row>
    <row r="106" spans="1:4">
      <c r="A106" s="136"/>
      <c r="B106" s="14" t="s">
        <v>119</v>
      </c>
      <c r="C106" s="17">
        <v>14151.2</v>
      </c>
      <c r="D106" s="139"/>
    </row>
    <row r="107" spans="1:4">
      <c r="A107" s="136"/>
      <c r="B107" s="61" t="s">
        <v>120</v>
      </c>
      <c r="C107" s="47">
        <v>72837</v>
      </c>
      <c r="D107" s="139"/>
    </row>
    <row r="108" spans="1:4">
      <c r="A108" s="136"/>
      <c r="B108" s="60" t="s">
        <v>121</v>
      </c>
      <c r="C108" s="47">
        <v>395151.75</v>
      </c>
      <c r="D108" s="139"/>
    </row>
    <row r="109" spans="1:4">
      <c r="A109" s="136"/>
      <c r="B109" s="14" t="s">
        <v>122</v>
      </c>
      <c r="C109" s="17">
        <v>2120</v>
      </c>
      <c r="D109" s="139"/>
    </row>
    <row r="110" spans="1:4">
      <c r="A110" s="136"/>
      <c r="B110" s="60" t="s">
        <v>123</v>
      </c>
      <c r="C110" s="47">
        <v>290507</v>
      </c>
      <c r="D110" s="139"/>
    </row>
    <row r="111" spans="1:4">
      <c r="A111" s="136"/>
      <c r="B111" s="28" t="s">
        <v>124</v>
      </c>
      <c r="C111" s="17">
        <v>45000</v>
      </c>
      <c r="D111" s="139"/>
    </row>
    <row r="112" spans="1:4">
      <c r="A112" s="136"/>
      <c r="B112" s="14" t="s">
        <v>125</v>
      </c>
      <c r="C112" s="17">
        <v>5800</v>
      </c>
      <c r="D112" s="139"/>
    </row>
    <row r="113" spans="1:4">
      <c r="A113" s="136"/>
      <c r="B113" s="14" t="s">
        <v>126</v>
      </c>
      <c r="C113" s="17">
        <v>7821</v>
      </c>
      <c r="D113" s="139"/>
    </row>
    <row r="114" spans="1:4">
      <c r="A114" s="136"/>
      <c r="B114" s="28" t="s">
        <v>127</v>
      </c>
      <c r="C114" s="17">
        <v>42220</v>
      </c>
      <c r="D114" s="139"/>
    </row>
    <row r="115" spans="1:4">
      <c r="A115" s="136"/>
      <c r="B115" s="28" t="s">
        <v>128</v>
      </c>
      <c r="C115" s="17">
        <v>3100</v>
      </c>
      <c r="D115" s="139"/>
    </row>
    <row r="116" spans="1:4">
      <c r="A116" s="136"/>
      <c r="B116" s="14"/>
      <c r="C116" s="17"/>
      <c r="D116" s="139"/>
    </row>
    <row r="117" spans="1:4">
      <c r="A117" s="21" t="s">
        <v>129</v>
      </c>
      <c r="B117" s="59"/>
      <c r="C117" s="17"/>
      <c r="D117" s="21"/>
    </row>
  </sheetData>
  <mergeCells count="21">
    <mergeCell ref="D29:D35"/>
    <mergeCell ref="D86:D89"/>
    <mergeCell ref="A29:A35"/>
    <mergeCell ref="D65:D85"/>
    <mergeCell ref="A65:A85"/>
    <mergeCell ref="D54:D64"/>
    <mergeCell ref="D36:D43"/>
    <mergeCell ref="A44:A53"/>
    <mergeCell ref="A54:A64"/>
    <mergeCell ref="D90:D116"/>
    <mergeCell ref="A36:A43"/>
    <mergeCell ref="A90:A99"/>
    <mergeCell ref="A100:A116"/>
    <mergeCell ref="D44:D53"/>
    <mergeCell ref="A86:A89"/>
    <mergeCell ref="A1:D1"/>
    <mergeCell ref="A3:A6"/>
    <mergeCell ref="A7:A8"/>
    <mergeCell ref="A9:A17"/>
    <mergeCell ref="A18:A28"/>
    <mergeCell ref="D18:D28"/>
  </mergeCells>
  <phoneticPr fontId="4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opLeftCell="A55" zoomScaleSheetLayoutView="100" workbookViewId="0">
      <selection activeCell="C49" sqref="C49"/>
    </sheetView>
  </sheetViews>
  <sheetFormatPr defaultColWidth="9" defaultRowHeight="13.5"/>
  <cols>
    <col min="1" max="1" width="6.5" customWidth="1"/>
    <col min="2" max="2" width="60" customWidth="1"/>
    <col min="3" max="3" width="15.75" style="43" customWidth="1"/>
    <col min="4" max="4" width="16.375" customWidth="1"/>
    <col min="5" max="7" width="11.625" customWidth="1"/>
  </cols>
  <sheetData>
    <row r="1" spans="1:5">
      <c r="A1" s="134" t="s">
        <v>130</v>
      </c>
      <c r="B1" s="134"/>
      <c r="C1" s="134"/>
      <c r="D1" s="134"/>
    </row>
    <row r="2" spans="1:5">
      <c r="A2" s="4" t="s">
        <v>1</v>
      </c>
      <c r="B2" s="4" t="s">
        <v>2</v>
      </c>
      <c r="C2" s="5" t="s">
        <v>3</v>
      </c>
      <c r="D2" s="4" t="s">
        <v>4</v>
      </c>
    </row>
    <row r="3" spans="1:5">
      <c r="A3" s="135" t="s">
        <v>5</v>
      </c>
      <c r="B3" s="14" t="s">
        <v>131</v>
      </c>
      <c r="C3" s="17">
        <v>28888.86</v>
      </c>
      <c r="D3" s="44"/>
    </row>
    <row r="4" spans="1:5">
      <c r="A4" s="136"/>
      <c r="B4" s="14" t="s">
        <v>132</v>
      </c>
      <c r="C4" s="17">
        <v>1750</v>
      </c>
      <c r="D4" s="45"/>
    </row>
    <row r="5" spans="1:5">
      <c r="A5" s="136"/>
      <c r="B5" s="14" t="s">
        <v>133</v>
      </c>
      <c r="C5" s="17">
        <v>12833</v>
      </c>
      <c r="D5" s="45"/>
    </row>
    <row r="6" spans="1:5">
      <c r="A6" s="136"/>
      <c r="B6" s="46" t="s">
        <v>134</v>
      </c>
      <c r="C6" s="47">
        <v>39525</v>
      </c>
      <c r="D6" s="45"/>
    </row>
    <row r="7" spans="1:5">
      <c r="A7" s="136"/>
      <c r="B7" s="14" t="s">
        <v>135</v>
      </c>
      <c r="C7" s="47">
        <v>4950</v>
      </c>
      <c r="D7" s="45"/>
    </row>
    <row r="8" spans="1:5">
      <c r="A8" s="137"/>
      <c r="B8" s="14" t="s">
        <v>136</v>
      </c>
      <c r="C8" s="17">
        <v>3032</v>
      </c>
      <c r="D8" s="48"/>
    </row>
    <row r="9" spans="1:5">
      <c r="A9" s="135" t="s">
        <v>10</v>
      </c>
      <c r="B9" s="16" t="s">
        <v>137</v>
      </c>
      <c r="C9" s="17">
        <v>290507</v>
      </c>
      <c r="D9" s="44"/>
    </row>
    <row r="10" spans="1:5">
      <c r="A10" s="136"/>
      <c r="B10" s="14" t="s">
        <v>138</v>
      </c>
      <c r="C10" s="17">
        <v>78046</v>
      </c>
      <c r="D10" s="45"/>
    </row>
    <row r="11" spans="1:5">
      <c r="A11" s="137"/>
      <c r="B11" s="14" t="s">
        <v>139</v>
      </c>
      <c r="C11" s="17">
        <v>2060</v>
      </c>
      <c r="D11" s="49"/>
    </row>
    <row r="12" spans="1:5">
      <c r="A12" s="135" t="s">
        <v>13</v>
      </c>
      <c r="B12" s="46" t="s">
        <v>140</v>
      </c>
      <c r="C12" s="47">
        <v>9450</v>
      </c>
      <c r="D12" s="44"/>
    </row>
    <row r="13" spans="1:5">
      <c r="A13" s="136"/>
      <c r="B13" s="50" t="s">
        <v>141</v>
      </c>
      <c r="C13" s="47">
        <v>7264</v>
      </c>
      <c r="D13" s="51"/>
    </row>
    <row r="14" spans="1:5">
      <c r="A14" s="136"/>
      <c r="B14" s="14" t="s">
        <v>142</v>
      </c>
      <c r="C14" s="17">
        <v>200</v>
      </c>
      <c r="D14" s="51"/>
      <c r="E14" s="52"/>
    </row>
    <row r="15" spans="1:5">
      <c r="A15" s="136"/>
      <c r="B15" s="13" t="s">
        <v>143</v>
      </c>
      <c r="C15" s="17">
        <v>18516.98</v>
      </c>
      <c r="D15" s="51"/>
    </row>
    <row r="16" spans="1:5">
      <c r="A16" s="136"/>
      <c r="B16" s="14" t="s">
        <v>144</v>
      </c>
      <c r="C16" s="17">
        <v>15701</v>
      </c>
      <c r="D16" s="51"/>
    </row>
    <row r="17" spans="1:4">
      <c r="A17" s="136"/>
      <c r="B17" s="53" t="s">
        <v>145</v>
      </c>
      <c r="C17" s="47">
        <v>72837</v>
      </c>
      <c r="D17" s="51"/>
    </row>
    <row r="18" spans="1:4">
      <c r="A18" s="136"/>
      <c r="B18" s="54" t="s">
        <v>146</v>
      </c>
      <c r="C18" s="47">
        <v>395151.75</v>
      </c>
      <c r="D18" s="51"/>
    </row>
    <row r="19" spans="1:4">
      <c r="A19" s="136"/>
      <c r="B19" s="14" t="s">
        <v>147</v>
      </c>
      <c r="C19" s="17">
        <v>1465</v>
      </c>
      <c r="D19" s="51"/>
    </row>
    <row r="20" spans="1:4">
      <c r="A20" s="135" t="s">
        <v>23</v>
      </c>
      <c r="B20" s="46" t="s">
        <v>126</v>
      </c>
      <c r="C20" s="17">
        <v>6194</v>
      </c>
      <c r="D20" s="138"/>
    </row>
    <row r="21" spans="1:4">
      <c r="A21" s="136"/>
      <c r="B21" s="14" t="s">
        <v>148</v>
      </c>
      <c r="C21" s="17">
        <v>10450</v>
      </c>
      <c r="D21" s="136"/>
    </row>
    <row r="22" spans="1:4">
      <c r="A22" s="136"/>
      <c r="B22" s="14" t="s">
        <v>149</v>
      </c>
      <c r="C22" s="17">
        <v>5650</v>
      </c>
      <c r="D22" s="136"/>
    </row>
    <row r="23" spans="1:4">
      <c r="A23" s="136"/>
      <c r="B23" s="14" t="s">
        <v>150</v>
      </c>
      <c r="C23" s="17">
        <v>28800</v>
      </c>
      <c r="D23" s="136"/>
    </row>
    <row r="24" spans="1:4">
      <c r="A24" s="136"/>
      <c r="B24" s="14" t="s">
        <v>151</v>
      </c>
      <c r="C24" s="17">
        <v>3000</v>
      </c>
      <c r="D24" s="136"/>
    </row>
    <row r="25" spans="1:4">
      <c r="A25" s="136"/>
      <c r="B25" s="14" t="s">
        <v>152</v>
      </c>
      <c r="C25" s="17">
        <v>9313</v>
      </c>
      <c r="D25" s="136"/>
    </row>
    <row r="26" spans="1:4">
      <c r="A26" s="136"/>
      <c r="B26" s="14" t="s">
        <v>153</v>
      </c>
      <c r="C26" s="17">
        <v>1695</v>
      </c>
      <c r="D26" s="136"/>
    </row>
    <row r="27" spans="1:4">
      <c r="A27" s="136"/>
      <c r="B27" s="7" t="s">
        <v>154</v>
      </c>
      <c r="C27" s="8">
        <v>1200</v>
      </c>
      <c r="D27" s="136"/>
    </row>
    <row r="28" spans="1:4">
      <c r="A28" s="135" t="s">
        <v>35</v>
      </c>
      <c r="B28" s="14" t="s">
        <v>155</v>
      </c>
      <c r="C28" s="17">
        <v>46502.5</v>
      </c>
      <c r="D28" s="135"/>
    </row>
    <row r="29" spans="1:4">
      <c r="A29" s="136"/>
      <c r="B29" s="46" t="s">
        <v>156</v>
      </c>
      <c r="C29" s="17">
        <v>64000</v>
      </c>
      <c r="D29" s="136"/>
    </row>
    <row r="30" spans="1:4">
      <c r="A30" s="136"/>
      <c r="B30" s="55" t="s">
        <v>157</v>
      </c>
      <c r="C30" s="56">
        <v>16500</v>
      </c>
      <c r="D30" s="136"/>
    </row>
    <row r="31" spans="1:4">
      <c r="A31" s="136"/>
      <c r="B31" s="14" t="s">
        <v>158</v>
      </c>
      <c r="C31" s="17">
        <v>20704</v>
      </c>
      <c r="D31" s="136"/>
    </row>
    <row r="32" spans="1:4">
      <c r="A32" s="136"/>
      <c r="B32" s="54" t="s">
        <v>159</v>
      </c>
      <c r="C32" s="47">
        <v>395151.75</v>
      </c>
      <c r="D32" s="136"/>
    </row>
    <row r="33" spans="1:4">
      <c r="A33" s="136"/>
      <c r="B33" s="53" t="s">
        <v>160</v>
      </c>
      <c r="C33" s="47">
        <v>72837</v>
      </c>
      <c r="D33" s="136"/>
    </row>
    <row r="34" spans="1:4" ht="13.5" customHeight="1">
      <c r="A34" s="139" t="s">
        <v>43</v>
      </c>
      <c r="B34" s="13" t="s">
        <v>161</v>
      </c>
      <c r="C34" s="17">
        <v>18516.98</v>
      </c>
      <c r="D34" s="139"/>
    </row>
    <row r="35" spans="1:4" ht="13.5" customHeight="1">
      <c r="A35" s="139"/>
      <c r="B35" s="55" t="s">
        <v>157</v>
      </c>
      <c r="C35" s="56">
        <v>16500</v>
      </c>
      <c r="D35" s="139"/>
    </row>
    <row r="36" spans="1:4" ht="13.5" customHeight="1">
      <c r="A36" s="139"/>
      <c r="B36" s="14" t="s">
        <v>162</v>
      </c>
      <c r="C36" s="17">
        <v>15900</v>
      </c>
      <c r="D36" s="139"/>
    </row>
    <row r="37" spans="1:4" ht="13.5" customHeight="1">
      <c r="A37" s="139"/>
      <c r="B37" s="14" t="s">
        <v>163</v>
      </c>
      <c r="C37" s="17">
        <v>3555</v>
      </c>
      <c r="D37" s="139"/>
    </row>
    <row r="38" spans="1:4" ht="13.5" customHeight="1">
      <c r="A38" s="139"/>
      <c r="B38" s="36" t="s">
        <v>164</v>
      </c>
      <c r="C38" s="17">
        <v>19843.2</v>
      </c>
      <c r="D38" s="139"/>
    </row>
    <row r="39" spans="1:4" ht="13.5" customHeight="1">
      <c r="A39" s="139"/>
      <c r="B39" s="36" t="s">
        <v>165</v>
      </c>
      <c r="C39" s="17">
        <v>46300.800000000003</v>
      </c>
      <c r="D39" s="139"/>
    </row>
    <row r="40" spans="1:4">
      <c r="A40" s="139"/>
      <c r="B40" s="14" t="s">
        <v>166</v>
      </c>
      <c r="C40" s="17">
        <v>4200</v>
      </c>
      <c r="D40" s="139"/>
    </row>
    <row r="41" spans="1:4">
      <c r="A41" s="139"/>
      <c r="B41" s="16" t="s">
        <v>167</v>
      </c>
      <c r="C41" s="17">
        <v>290507</v>
      </c>
      <c r="D41" s="139"/>
    </row>
    <row r="42" spans="1:4">
      <c r="A42" s="139"/>
      <c r="B42" s="14" t="s">
        <v>168</v>
      </c>
      <c r="C42" s="17">
        <v>34992.54</v>
      </c>
      <c r="D42" s="139"/>
    </row>
    <row r="43" spans="1:4">
      <c r="A43" s="139"/>
      <c r="B43" s="46" t="s">
        <v>169</v>
      </c>
      <c r="C43" s="17">
        <v>111500</v>
      </c>
      <c r="D43" s="139"/>
    </row>
    <row r="44" spans="1:4">
      <c r="A44" s="139"/>
      <c r="B44" s="14" t="s">
        <v>170</v>
      </c>
      <c r="C44" s="17">
        <v>1980</v>
      </c>
      <c r="D44" s="139"/>
    </row>
    <row r="45" spans="1:4">
      <c r="A45" s="139"/>
      <c r="B45" s="14" t="s">
        <v>133</v>
      </c>
      <c r="C45" s="17">
        <v>28481.5</v>
      </c>
      <c r="D45" s="139"/>
    </row>
    <row r="46" spans="1:4">
      <c r="A46" s="139"/>
      <c r="B46" s="14" t="s">
        <v>171</v>
      </c>
      <c r="C46" s="17">
        <v>1500</v>
      </c>
      <c r="D46" s="139"/>
    </row>
    <row r="47" spans="1:4">
      <c r="A47" s="135" t="s">
        <v>52</v>
      </c>
      <c r="B47" s="14" t="s">
        <v>172</v>
      </c>
      <c r="C47" s="17">
        <v>1800</v>
      </c>
      <c r="D47" s="139"/>
    </row>
    <row r="48" spans="1:4">
      <c r="A48" s="136"/>
      <c r="B48" s="14" t="s">
        <v>173</v>
      </c>
      <c r="C48" s="17">
        <v>41816.620000000003</v>
      </c>
      <c r="D48" s="139"/>
    </row>
    <row r="49" spans="1:4">
      <c r="A49" s="136"/>
      <c r="B49" s="14" t="s">
        <v>174</v>
      </c>
      <c r="C49" s="17">
        <v>14550.8</v>
      </c>
      <c r="D49" s="139"/>
    </row>
    <row r="50" spans="1:4">
      <c r="A50" s="136"/>
      <c r="B50" s="46" t="s">
        <v>175</v>
      </c>
      <c r="C50" s="47">
        <v>39525</v>
      </c>
      <c r="D50" s="139"/>
    </row>
    <row r="51" spans="1:4">
      <c r="A51" s="136"/>
      <c r="B51" s="16" t="s">
        <v>176</v>
      </c>
      <c r="C51" s="17">
        <v>290507</v>
      </c>
      <c r="D51" s="139"/>
    </row>
    <row r="52" spans="1:4">
      <c r="A52" s="136"/>
      <c r="B52" s="50" t="s">
        <v>141</v>
      </c>
      <c r="C52" s="17">
        <v>5670</v>
      </c>
      <c r="D52" s="139"/>
    </row>
    <row r="53" spans="1:4">
      <c r="A53" s="136"/>
      <c r="B53" s="13" t="s">
        <v>177</v>
      </c>
      <c r="C53" s="17">
        <v>18516.98</v>
      </c>
      <c r="D53" s="139"/>
    </row>
    <row r="54" spans="1:4">
      <c r="A54" s="136"/>
      <c r="B54" s="14" t="s">
        <v>178</v>
      </c>
      <c r="C54" s="17">
        <v>940</v>
      </c>
      <c r="D54" s="139"/>
    </row>
    <row r="55" spans="1:4">
      <c r="A55" s="136"/>
      <c r="B55" s="14" t="s">
        <v>179</v>
      </c>
      <c r="C55" s="17">
        <v>2672</v>
      </c>
      <c r="D55" s="139"/>
    </row>
    <row r="56" spans="1:4">
      <c r="A56" s="136"/>
      <c r="B56" s="14" t="s">
        <v>180</v>
      </c>
      <c r="C56" s="17">
        <v>1200</v>
      </c>
      <c r="D56" s="139"/>
    </row>
    <row r="57" spans="1:4">
      <c r="A57" s="136"/>
      <c r="B57" s="14" t="s">
        <v>181</v>
      </c>
      <c r="C57" s="17">
        <v>11355.8</v>
      </c>
      <c r="D57" s="139"/>
    </row>
    <row r="58" spans="1:4">
      <c r="A58" s="139" t="s">
        <v>63</v>
      </c>
      <c r="B58" s="14" t="s">
        <v>182</v>
      </c>
      <c r="C58" s="17">
        <v>1665</v>
      </c>
      <c r="D58" s="139"/>
    </row>
    <row r="59" spans="1:4">
      <c r="A59" s="139"/>
      <c r="B59" s="14" t="s">
        <v>183</v>
      </c>
      <c r="C59" s="17">
        <v>900</v>
      </c>
      <c r="D59" s="139"/>
    </row>
    <row r="60" spans="1:4">
      <c r="A60" s="139"/>
      <c r="B60" s="14" t="s">
        <v>184</v>
      </c>
      <c r="C60" s="17">
        <v>46390</v>
      </c>
      <c r="D60" s="139"/>
    </row>
    <row r="61" spans="1:4">
      <c r="A61" s="139"/>
      <c r="B61" s="14" t="s">
        <v>185</v>
      </c>
      <c r="C61" s="17">
        <v>500</v>
      </c>
      <c r="D61" s="139"/>
    </row>
    <row r="62" spans="1:4">
      <c r="A62" s="139"/>
      <c r="B62" s="53" t="s">
        <v>186</v>
      </c>
      <c r="C62" s="47">
        <v>72837</v>
      </c>
      <c r="D62" s="139"/>
    </row>
    <row r="63" spans="1:4">
      <c r="A63" s="139"/>
      <c r="B63" s="54" t="s">
        <v>187</v>
      </c>
      <c r="C63" s="47">
        <v>395151.75</v>
      </c>
      <c r="D63" s="139"/>
    </row>
    <row r="64" spans="1:4">
      <c r="A64" s="139"/>
      <c r="B64" s="14" t="s">
        <v>188</v>
      </c>
      <c r="C64" s="17">
        <v>55000</v>
      </c>
      <c r="D64" s="139"/>
    </row>
    <row r="65" spans="1:4">
      <c r="A65" s="139"/>
      <c r="B65" s="14" t="s">
        <v>189</v>
      </c>
      <c r="C65" s="17">
        <v>14044.6</v>
      </c>
      <c r="D65" s="139"/>
    </row>
    <row r="66" spans="1:4">
      <c r="A66" s="135" t="s">
        <v>75</v>
      </c>
      <c r="B66" s="14" t="s">
        <v>190</v>
      </c>
      <c r="C66" s="17">
        <v>28716</v>
      </c>
      <c r="D66" s="135"/>
    </row>
    <row r="67" spans="1:4">
      <c r="A67" s="136"/>
      <c r="B67" s="14" t="s">
        <v>191</v>
      </c>
      <c r="C67" s="17">
        <v>5000</v>
      </c>
      <c r="D67" s="136"/>
    </row>
    <row r="68" spans="1:4">
      <c r="A68" s="136"/>
      <c r="B68" s="14" t="s">
        <v>192</v>
      </c>
      <c r="C68" s="17">
        <v>48545.45</v>
      </c>
      <c r="D68" s="136"/>
    </row>
    <row r="69" spans="1:4">
      <c r="A69" s="136"/>
      <c r="B69" s="55" t="s">
        <v>193</v>
      </c>
      <c r="C69" s="57">
        <v>6100</v>
      </c>
      <c r="D69" s="136"/>
    </row>
    <row r="70" spans="1:4">
      <c r="A70" s="136"/>
      <c r="B70" s="13" t="s">
        <v>194</v>
      </c>
      <c r="C70" s="17">
        <v>18516.98</v>
      </c>
      <c r="D70" s="136"/>
    </row>
    <row r="71" spans="1:4">
      <c r="A71" s="136"/>
      <c r="B71" s="14" t="s">
        <v>195</v>
      </c>
      <c r="C71" s="17">
        <v>1320</v>
      </c>
      <c r="D71" s="136"/>
    </row>
    <row r="72" spans="1:4">
      <c r="A72" s="136"/>
      <c r="B72" s="14" t="s">
        <v>196</v>
      </c>
      <c r="C72" s="17">
        <v>4800</v>
      </c>
      <c r="D72" s="136"/>
    </row>
    <row r="73" spans="1:4">
      <c r="A73" s="136"/>
      <c r="B73" s="46" t="s">
        <v>197</v>
      </c>
      <c r="C73" s="17">
        <v>111500</v>
      </c>
      <c r="D73" s="136"/>
    </row>
    <row r="74" spans="1:4">
      <c r="A74" s="136"/>
      <c r="B74" s="14" t="s">
        <v>135</v>
      </c>
      <c r="C74" s="17">
        <v>4400</v>
      </c>
      <c r="D74" s="136"/>
    </row>
    <row r="75" spans="1:4">
      <c r="A75" s="136"/>
      <c r="B75" s="14" t="s">
        <v>198</v>
      </c>
      <c r="C75" s="17">
        <v>13109.4</v>
      </c>
      <c r="D75" s="136"/>
    </row>
    <row r="76" spans="1:4">
      <c r="A76" s="139" t="s">
        <v>97</v>
      </c>
      <c r="B76" s="46" t="s">
        <v>199</v>
      </c>
      <c r="C76" s="17">
        <v>1570</v>
      </c>
      <c r="D76" s="139"/>
    </row>
    <row r="77" spans="1:4">
      <c r="A77" s="139"/>
      <c r="B77" s="14" t="s">
        <v>200</v>
      </c>
      <c r="C77" s="17">
        <v>3150</v>
      </c>
      <c r="D77" s="139"/>
    </row>
    <row r="78" spans="1:4">
      <c r="A78" s="139"/>
      <c r="B78" s="14" t="s">
        <v>201</v>
      </c>
      <c r="C78" s="17">
        <v>48792.05</v>
      </c>
      <c r="D78" s="139"/>
    </row>
    <row r="79" spans="1:4">
      <c r="A79" s="139"/>
      <c r="B79" s="14" t="s">
        <v>202</v>
      </c>
      <c r="C79" s="17">
        <v>5400</v>
      </c>
      <c r="D79" s="139"/>
    </row>
    <row r="80" spans="1:4">
      <c r="A80" s="139"/>
      <c r="B80" s="14" t="s">
        <v>203</v>
      </c>
      <c r="C80" s="17">
        <v>28800</v>
      </c>
      <c r="D80" s="139"/>
    </row>
    <row r="81" spans="1:4">
      <c r="A81" s="139"/>
      <c r="B81" s="14" t="s">
        <v>204</v>
      </c>
      <c r="C81" s="17">
        <v>9850</v>
      </c>
      <c r="D81" s="139"/>
    </row>
    <row r="82" spans="1:4">
      <c r="A82" s="139"/>
      <c r="B82" s="14" t="s">
        <v>205</v>
      </c>
      <c r="C82" s="17">
        <v>2605</v>
      </c>
      <c r="D82" s="139"/>
    </row>
    <row r="83" spans="1:4">
      <c r="A83" s="139"/>
      <c r="B83" s="14" t="s">
        <v>206</v>
      </c>
      <c r="C83" s="17">
        <v>27396</v>
      </c>
      <c r="D83" s="139"/>
    </row>
    <row r="84" spans="1:4">
      <c r="A84" s="139"/>
      <c r="B84" s="14" t="s">
        <v>207</v>
      </c>
      <c r="C84" s="17">
        <v>450</v>
      </c>
      <c r="D84" s="139"/>
    </row>
    <row r="85" spans="1:4">
      <c r="A85" s="139"/>
      <c r="B85" s="16" t="s">
        <v>208</v>
      </c>
      <c r="C85" s="17">
        <v>290507</v>
      </c>
      <c r="D85" s="139"/>
    </row>
    <row r="86" spans="1:4">
      <c r="A86" s="136" t="s">
        <v>209</v>
      </c>
      <c r="B86" s="14" t="s">
        <v>100</v>
      </c>
      <c r="C86" s="17">
        <v>3790</v>
      </c>
      <c r="D86" s="139"/>
    </row>
    <row r="87" spans="1:4">
      <c r="A87" s="136"/>
      <c r="B87" s="14" t="s">
        <v>18</v>
      </c>
      <c r="C87" s="17">
        <v>2208</v>
      </c>
      <c r="D87" s="139"/>
    </row>
    <row r="88" spans="1:4">
      <c r="A88" s="136"/>
      <c r="B88" s="14" t="s">
        <v>210</v>
      </c>
      <c r="C88" s="17">
        <v>47782.34</v>
      </c>
      <c r="D88" s="139"/>
    </row>
    <row r="89" spans="1:4">
      <c r="A89" s="136"/>
      <c r="B89" s="14" t="s">
        <v>211</v>
      </c>
      <c r="C89" s="17">
        <v>2400</v>
      </c>
      <c r="D89" s="139"/>
    </row>
    <row r="90" spans="1:4">
      <c r="A90" s="136"/>
      <c r="B90" s="13" t="s">
        <v>212</v>
      </c>
      <c r="C90" s="17">
        <v>18516.98</v>
      </c>
      <c r="D90" s="139"/>
    </row>
    <row r="91" spans="1:4">
      <c r="A91" s="136"/>
      <c r="B91" s="14" t="s">
        <v>213</v>
      </c>
      <c r="C91" s="17">
        <v>12716</v>
      </c>
      <c r="D91" s="139"/>
    </row>
    <row r="92" spans="1:4">
      <c r="A92" s="136"/>
      <c r="B92" s="14" t="s">
        <v>214</v>
      </c>
      <c r="C92" s="58">
        <v>5000</v>
      </c>
      <c r="D92" s="139"/>
    </row>
    <row r="93" spans="1:4">
      <c r="A93" s="135" t="s">
        <v>112</v>
      </c>
      <c r="B93" s="53" t="s">
        <v>215</v>
      </c>
      <c r="C93" s="47">
        <v>72837</v>
      </c>
      <c r="D93" s="139"/>
    </row>
    <row r="94" spans="1:4">
      <c r="A94" s="136"/>
      <c r="B94" s="54" t="s">
        <v>216</v>
      </c>
      <c r="C94" s="47">
        <v>395151.75</v>
      </c>
      <c r="D94" s="139"/>
    </row>
    <row r="95" spans="1:4">
      <c r="A95" s="136"/>
      <c r="B95" s="14" t="s">
        <v>217</v>
      </c>
      <c r="C95" s="17">
        <v>68500</v>
      </c>
      <c r="D95" s="139"/>
    </row>
    <row r="96" spans="1:4">
      <c r="A96" s="136"/>
      <c r="B96" s="14" t="s">
        <v>218</v>
      </c>
      <c r="C96" s="17">
        <v>44980</v>
      </c>
      <c r="D96" s="139"/>
    </row>
    <row r="97" spans="1:4">
      <c r="A97" s="136"/>
      <c r="B97" s="14" t="s">
        <v>219</v>
      </c>
      <c r="C97" s="17">
        <v>15900</v>
      </c>
      <c r="D97" s="139"/>
    </row>
    <row r="98" spans="1:4">
      <c r="A98" s="136"/>
      <c r="B98" s="14" t="s">
        <v>220</v>
      </c>
      <c r="C98" s="17">
        <v>86845</v>
      </c>
      <c r="D98" s="139"/>
    </row>
    <row r="99" spans="1:4">
      <c r="A99" s="136"/>
      <c r="B99" s="14" t="s">
        <v>221</v>
      </c>
      <c r="C99" s="17">
        <v>2825</v>
      </c>
      <c r="D99" s="139"/>
    </row>
    <row r="100" spans="1:4">
      <c r="A100" s="136"/>
      <c r="B100" s="14" t="s">
        <v>114</v>
      </c>
      <c r="C100" s="8">
        <v>9600</v>
      </c>
      <c r="D100" s="139"/>
    </row>
    <row r="101" spans="1:4">
      <c r="A101" s="136"/>
      <c r="B101" s="7" t="s">
        <v>222</v>
      </c>
      <c r="C101" s="8">
        <v>3030</v>
      </c>
      <c r="D101" s="139"/>
    </row>
    <row r="102" spans="1:4">
      <c r="A102" s="136"/>
      <c r="B102" s="14" t="s">
        <v>223</v>
      </c>
      <c r="C102" s="17">
        <v>3240</v>
      </c>
      <c r="D102" s="139"/>
    </row>
    <row r="103" spans="1:4">
      <c r="A103" s="136"/>
      <c r="B103" s="14" t="s">
        <v>224</v>
      </c>
      <c r="C103" s="47">
        <v>2975</v>
      </c>
      <c r="D103" s="139"/>
    </row>
    <row r="104" spans="1:4">
      <c r="A104" s="136"/>
      <c r="B104" s="14" t="s">
        <v>225</v>
      </c>
      <c r="C104" s="17">
        <v>39736.57</v>
      </c>
      <c r="D104" s="139"/>
    </row>
    <row r="105" spans="1:4">
      <c r="A105" s="136"/>
      <c r="B105" s="14" t="s">
        <v>226</v>
      </c>
      <c r="C105" s="17">
        <v>13692.7</v>
      </c>
      <c r="D105" s="139"/>
    </row>
    <row r="106" spans="1:4">
      <c r="A106" s="136"/>
      <c r="B106" s="13" t="s">
        <v>227</v>
      </c>
      <c r="C106" s="17">
        <v>18755.259999999998</v>
      </c>
      <c r="D106" s="139"/>
    </row>
    <row r="107" spans="1:4">
      <c r="A107" s="136"/>
      <c r="B107" s="28" t="s">
        <v>228</v>
      </c>
      <c r="C107" s="17">
        <v>28500</v>
      </c>
      <c r="D107" s="139"/>
    </row>
    <row r="108" spans="1:4">
      <c r="A108" s="136"/>
      <c r="B108" s="28"/>
      <c r="C108" s="17"/>
      <c r="D108" s="139"/>
    </row>
    <row r="109" spans="1:4">
      <c r="A109" s="136"/>
      <c r="B109" s="14"/>
      <c r="C109" s="17"/>
      <c r="D109" s="139"/>
    </row>
    <row r="110" spans="1:4">
      <c r="A110" s="21" t="s">
        <v>129</v>
      </c>
      <c r="B110" s="59"/>
      <c r="C110" s="17"/>
      <c r="D110" s="21"/>
    </row>
  </sheetData>
  <mergeCells count="21">
    <mergeCell ref="D28:D33"/>
    <mergeCell ref="D76:D85"/>
    <mergeCell ref="A28:A33"/>
    <mergeCell ref="D66:D75"/>
    <mergeCell ref="A66:A75"/>
    <mergeCell ref="D58:D65"/>
    <mergeCell ref="D34:D46"/>
    <mergeCell ref="A47:A57"/>
    <mergeCell ref="A58:A65"/>
    <mergeCell ref="D86:D109"/>
    <mergeCell ref="A34:A46"/>
    <mergeCell ref="A86:A92"/>
    <mergeCell ref="A93:A109"/>
    <mergeCell ref="D47:D57"/>
    <mergeCell ref="A76:A85"/>
    <mergeCell ref="A1:D1"/>
    <mergeCell ref="A3:A8"/>
    <mergeCell ref="A9:A11"/>
    <mergeCell ref="A12:A19"/>
    <mergeCell ref="A20:A27"/>
    <mergeCell ref="D20:D27"/>
  </mergeCells>
  <phoneticPr fontId="4" type="noConversion"/>
  <conditionalFormatting sqref="B92">
    <cfRule type="containsText" dxfId="508" priority="2" operator="containsText" text="昌地">
      <formula>NOT(ISERROR(SEARCH("昌地",B92)))</formula>
    </cfRule>
  </conditionalFormatting>
  <conditionalFormatting sqref="C1:C1048576">
    <cfRule type="cellIs" dxfId="507" priority="3" operator="equal">
      <formula>5000</formula>
    </cfRule>
    <cfRule type="cellIs" dxfId="506" priority="4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E144"/>
  <sheetViews>
    <sheetView view="pageBreakPreview" topLeftCell="A58" zoomScaleNormal="100" workbookViewId="0">
      <selection activeCell="B67" sqref="B67:C67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11.75" style="1" customWidth="1"/>
    <col min="5" max="5" width="52.875" style="3" customWidth="1"/>
    <col min="6" max="7" width="11.625" style="1" customWidth="1"/>
    <col min="8" max="16384" width="9" style="1"/>
  </cols>
  <sheetData>
    <row r="1" spans="1:5">
      <c r="A1" s="134" t="s">
        <v>229</v>
      </c>
      <c r="B1" s="134"/>
      <c r="C1" s="134"/>
      <c r="D1" s="140"/>
    </row>
    <row r="2" spans="1:5">
      <c r="A2" s="4" t="s">
        <v>1</v>
      </c>
      <c r="B2" s="4" t="s">
        <v>2</v>
      </c>
      <c r="C2" s="5" t="s">
        <v>3</v>
      </c>
      <c r="D2" s="4" t="s">
        <v>4</v>
      </c>
      <c r="E2" s="6"/>
    </row>
    <row r="3" spans="1:5">
      <c r="A3" s="135" t="s">
        <v>5</v>
      </c>
      <c r="B3" s="28" t="s">
        <v>228</v>
      </c>
      <c r="C3" s="17">
        <v>28500</v>
      </c>
      <c r="D3" s="29"/>
      <c r="E3" s="6"/>
    </row>
    <row r="4" spans="1:5">
      <c r="A4" s="136"/>
      <c r="B4" s="28" t="s">
        <v>230</v>
      </c>
      <c r="C4" s="17">
        <v>45000</v>
      </c>
      <c r="D4" s="29"/>
      <c r="E4" s="6"/>
    </row>
    <row r="5" spans="1:5">
      <c r="A5" s="136"/>
      <c r="B5" s="14" t="s">
        <v>231</v>
      </c>
      <c r="C5" s="17">
        <v>510</v>
      </c>
      <c r="D5" s="29"/>
      <c r="E5" s="6"/>
    </row>
    <row r="6" spans="1:5">
      <c r="A6" s="136"/>
      <c r="B6" s="14" t="s">
        <v>232</v>
      </c>
      <c r="C6" s="17">
        <v>42769.77</v>
      </c>
      <c r="D6" s="29"/>
      <c r="E6" s="6"/>
    </row>
    <row r="7" spans="1:5">
      <c r="A7" s="136"/>
      <c r="B7" s="14" t="s">
        <v>233</v>
      </c>
      <c r="C7" s="17">
        <v>9900</v>
      </c>
      <c r="D7" s="29"/>
      <c r="E7" s="6"/>
    </row>
    <row r="8" spans="1:5">
      <c r="A8" s="136"/>
      <c r="B8" s="12" t="s">
        <v>234</v>
      </c>
      <c r="C8" s="17">
        <v>5500</v>
      </c>
      <c r="D8" s="29"/>
      <c r="E8" s="6" t="s">
        <v>235</v>
      </c>
    </row>
    <row r="9" spans="1:5">
      <c r="A9" s="136"/>
      <c r="B9" s="14" t="s">
        <v>236</v>
      </c>
      <c r="C9" s="17">
        <v>15576.73</v>
      </c>
      <c r="D9" s="29"/>
      <c r="E9" s="6" t="s">
        <v>235</v>
      </c>
    </row>
    <row r="10" spans="1:5">
      <c r="A10" s="136"/>
      <c r="B10" s="12" t="s">
        <v>237</v>
      </c>
      <c r="C10" s="17">
        <v>39525</v>
      </c>
      <c r="D10" s="29"/>
      <c r="E10" s="6" t="s">
        <v>235</v>
      </c>
    </row>
    <row r="11" spans="1:5">
      <c r="A11" s="136"/>
      <c r="B11" s="14" t="s">
        <v>238</v>
      </c>
      <c r="C11" s="17">
        <v>2750</v>
      </c>
      <c r="D11" s="29"/>
      <c r="E11" s="6"/>
    </row>
    <row r="12" spans="1:5">
      <c r="A12" s="136"/>
      <c r="B12" s="16" t="s">
        <v>239</v>
      </c>
      <c r="C12" s="30">
        <v>290507</v>
      </c>
      <c r="D12" s="29"/>
      <c r="E12" s="6"/>
    </row>
    <row r="13" spans="1:5">
      <c r="A13" s="136"/>
      <c r="B13" s="14" t="s">
        <v>240</v>
      </c>
      <c r="C13" s="17">
        <v>9449.2000000000007</v>
      </c>
      <c r="D13" s="29"/>
      <c r="E13" s="6"/>
    </row>
    <row r="14" spans="1:5">
      <c r="A14" s="10"/>
      <c r="B14" s="14" t="s">
        <v>241</v>
      </c>
      <c r="C14" s="17">
        <v>12960</v>
      </c>
      <c r="D14" s="29"/>
      <c r="E14" s="6" t="s">
        <v>242</v>
      </c>
    </row>
    <row r="15" spans="1:5">
      <c r="A15" s="135" t="s">
        <v>10</v>
      </c>
      <c r="B15" s="7" t="s">
        <v>243</v>
      </c>
      <c r="C15" s="17">
        <v>9640</v>
      </c>
      <c r="D15" s="29"/>
      <c r="E15" s="6" t="s">
        <v>242</v>
      </c>
    </row>
    <row r="16" spans="1:5">
      <c r="A16" s="136"/>
      <c r="B16" s="12" t="s">
        <v>244</v>
      </c>
      <c r="C16" s="17">
        <v>9450</v>
      </c>
      <c r="D16" s="29"/>
      <c r="E16" s="6"/>
    </row>
    <row r="17" spans="1:5">
      <c r="A17" s="136"/>
      <c r="B17" s="7" t="s">
        <v>245</v>
      </c>
      <c r="C17" s="17">
        <v>2650</v>
      </c>
      <c r="D17" s="29"/>
      <c r="E17" s="6"/>
    </row>
    <row r="18" spans="1:5">
      <c r="A18" s="136"/>
      <c r="B18" s="14" t="s">
        <v>246</v>
      </c>
      <c r="C18" s="17">
        <v>3899.5</v>
      </c>
      <c r="D18" s="29"/>
      <c r="E18" s="6"/>
    </row>
    <row r="19" spans="1:5">
      <c r="A19" s="136"/>
      <c r="B19" s="12" t="s">
        <v>247</v>
      </c>
      <c r="C19" s="17">
        <v>55000</v>
      </c>
      <c r="D19" s="29"/>
      <c r="E19" s="6"/>
    </row>
    <row r="20" spans="1:5">
      <c r="A20" s="137"/>
      <c r="B20" s="12" t="s">
        <v>248</v>
      </c>
      <c r="C20" s="17">
        <v>9450</v>
      </c>
      <c r="D20" s="21"/>
      <c r="E20" s="6"/>
    </row>
    <row r="21" spans="1:5">
      <c r="A21" s="135" t="s">
        <v>13</v>
      </c>
      <c r="B21" s="14" t="s">
        <v>249</v>
      </c>
      <c r="C21" s="17">
        <v>7074</v>
      </c>
      <c r="D21" s="29"/>
      <c r="E21" s="6"/>
    </row>
    <row r="22" spans="1:5">
      <c r="A22" s="136"/>
      <c r="B22" s="16" t="s">
        <v>250</v>
      </c>
      <c r="C22" s="17">
        <v>395151.75</v>
      </c>
      <c r="D22" s="21"/>
      <c r="E22" s="6"/>
    </row>
    <row r="23" spans="1:5">
      <c r="A23" s="136"/>
      <c r="B23" s="16" t="s">
        <v>251</v>
      </c>
      <c r="C23" s="17">
        <v>72837</v>
      </c>
      <c r="D23" s="21"/>
      <c r="E23" s="31"/>
    </row>
    <row r="24" spans="1:5">
      <c r="A24" s="136"/>
      <c r="B24" s="14" t="s">
        <v>252</v>
      </c>
      <c r="C24" s="17">
        <v>11000</v>
      </c>
      <c r="D24" s="21"/>
      <c r="E24" s="6" t="s">
        <v>253</v>
      </c>
    </row>
    <row r="25" spans="1:5">
      <c r="A25" s="136"/>
      <c r="B25" s="14" t="s">
        <v>254</v>
      </c>
      <c r="C25" s="17">
        <v>41083.49</v>
      </c>
      <c r="D25" s="21"/>
      <c r="E25" s="6"/>
    </row>
    <row r="26" spans="1:5">
      <c r="A26" s="136"/>
      <c r="B26" s="13" t="s">
        <v>255</v>
      </c>
      <c r="C26" s="17">
        <v>19123.28</v>
      </c>
      <c r="D26" s="21"/>
      <c r="E26" s="6"/>
    </row>
    <row r="27" spans="1:5">
      <c r="A27" s="136"/>
      <c r="B27" s="7" t="s">
        <v>256</v>
      </c>
      <c r="C27" s="17">
        <v>1360</v>
      </c>
      <c r="D27" s="21"/>
      <c r="E27" s="6"/>
    </row>
    <row r="28" spans="1:5">
      <c r="A28" s="136"/>
      <c r="B28" s="7" t="s">
        <v>257</v>
      </c>
      <c r="C28" s="17">
        <v>1000</v>
      </c>
      <c r="D28" s="21"/>
      <c r="E28" s="6"/>
    </row>
    <row r="29" spans="1:5">
      <c r="A29" s="136"/>
      <c r="B29" s="14" t="s">
        <v>258</v>
      </c>
      <c r="C29" s="17">
        <v>8484</v>
      </c>
      <c r="D29" s="21"/>
      <c r="E29" s="6"/>
    </row>
    <row r="30" spans="1:5">
      <c r="A30" s="136"/>
      <c r="B30" s="12" t="s">
        <v>259</v>
      </c>
      <c r="C30" s="17">
        <v>111500</v>
      </c>
      <c r="D30" s="21"/>
      <c r="E30" s="6"/>
    </row>
    <row r="31" spans="1:5">
      <c r="A31" s="136"/>
      <c r="B31" s="12" t="s">
        <v>260</v>
      </c>
      <c r="C31" s="17">
        <v>5500</v>
      </c>
      <c r="D31" s="21"/>
      <c r="E31" s="6" t="s">
        <v>235</v>
      </c>
    </row>
    <row r="32" spans="1:5">
      <c r="A32" s="135" t="s">
        <v>23</v>
      </c>
      <c r="B32" s="14" t="s">
        <v>261</v>
      </c>
      <c r="C32" s="17">
        <v>4225</v>
      </c>
      <c r="D32" s="32"/>
      <c r="E32" s="6" t="s">
        <v>262</v>
      </c>
    </row>
    <row r="33" spans="1:5">
      <c r="A33" s="136"/>
      <c r="B33" s="14" t="s">
        <v>263</v>
      </c>
      <c r="C33" s="17">
        <v>3430</v>
      </c>
      <c r="D33" s="33"/>
      <c r="E33" s="6"/>
    </row>
    <row r="34" spans="1:5">
      <c r="A34" s="136"/>
      <c r="B34" s="14" t="s">
        <v>264</v>
      </c>
      <c r="C34" s="17">
        <v>33910.01</v>
      </c>
      <c r="D34" s="33"/>
      <c r="E34" s="6"/>
    </row>
    <row r="35" spans="1:5">
      <c r="A35" s="136"/>
      <c r="B35" s="14" t="s">
        <v>149</v>
      </c>
      <c r="C35" s="17">
        <v>7400</v>
      </c>
      <c r="D35" s="33"/>
      <c r="E35" s="6"/>
    </row>
    <row r="36" spans="1:5">
      <c r="A36" s="136"/>
      <c r="B36" s="14" t="s">
        <v>265</v>
      </c>
      <c r="C36" s="17">
        <v>1200</v>
      </c>
      <c r="D36" s="33"/>
      <c r="E36" s="6"/>
    </row>
    <row r="37" spans="1:5">
      <c r="A37" s="136"/>
      <c r="B37" s="14" t="s">
        <v>266</v>
      </c>
      <c r="C37" s="17">
        <v>528</v>
      </c>
      <c r="D37" s="33"/>
      <c r="E37" s="6"/>
    </row>
    <row r="38" spans="1:5">
      <c r="A38" s="136"/>
      <c r="B38" s="34" t="s">
        <v>267</v>
      </c>
      <c r="C38" s="17">
        <v>9900</v>
      </c>
      <c r="D38" s="33"/>
      <c r="E38" s="6" t="s">
        <v>268</v>
      </c>
    </row>
    <row r="39" spans="1:5">
      <c r="A39" s="136"/>
      <c r="B39" s="7" t="s">
        <v>269</v>
      </c>
      <c r="C39" s="17">
        <v>4855.5</v>
      </c>
      <c r="D39" s="33"/>
      <c r="E39" s="6"/>
    </row>
    <row r="40" spans="1:5">
      <c r="A40" s="136"/>
      <c r="B40" s="7" t="s">
        <v>270</v>
      </c>
      <c r="C40" s="17">
        <v>2067</v>
      </c>
      <c r="D40" s="33"/>
      <c r="E40" s="6">
        <v>6595.85</v>
      </c>
    </row>
    <row r="41" spans="1:5">
      <c r="A41" s="136"/>
      <c r="B41" s="7" t="s">
        <v>271</v>
      </c>
      <c r="C41" s="17">
        <v>3919</v>
      </c>
      <c r="D41" s="33"/>
      <c r="E41" s="6">
        <v>5102.45</v>
      </c>
    </row>
    <row r="42" spans="1:5">
      <c r="A42" s="136"/>
      <c r="B42" s="14" t="s">
        <v>272</v>
      </c>
      <c r="C42" s="17">
        <v>8177.4</v>
      </c>
      <c r="D42" s="33"/>
      <c r="E42" s="6"/>
    </row>
    <row r="43" spans="1:5">
      <c r="A43" s="136"/>
      <c r="B43" s="12" t="s">
        <v>273</v>
      </c>
      <c r="C43" s="17">
        <v>28800</v>
      </c>
      <c r="D43" s="33"/>
      <c r="E43" s="6"/>
    </row>
    <row r="44" spans="1:5">
      <c r="A44" s="136"/>
      <c r="B44" s="16" t="s">
        <v>274</v>
      </c>
      <c r="C44" s="17">
        <v>362520</v>
      </c>
      <c r="D44" s="33"/>
      <c r="E44" s="6"/>
    </row>
    <row r="45" spans="1:5">
      <c r="A45" s="135" t="s">
        <v>35</v>
      </c>
      <c r="B45" s="14" t="s">
        <v>275</v>
      </c>
      <c r="C45" s="17">
        <v>400</v>
      </c>
      <c r="D45" s="33"/>
      <c r="E45" s="6" t="s">
        <v>235</v>
      </c>
    </row>
    <row r="46" spans="1:5">
      <c r="A46" s="136"/>
      <c r="B46" s="14" t="s">
        <v>276</v>
      </c>
      <c r="C46" s="17">
        <v>27000</v>
      </c>
      <c r="D46" s="33"/>
      <c r="E46" s="6" t="s">
        <v>277</v>
      </c>
    </row>
    <row r="47" spans="1:5">
      <c r="A47" s="136"/>
      <c r="B47" s="14" t="s">
        <v>278</v>
      </c>
      <c r="C47" s="17">
        <v>39791.980000000003</v>
      </c>
      <c r="D47" s="33"/>
      <c r="E47" s="6"/>
    </row>
    <row r="48" spans="1:5">
      <c r="A48" s="136"/>
      <c r="B48" s="7" t="s">
        <v>154</v>
      </c>
      <c r="C48" s="17">
        <v>1200</v>
      </c>
      <c r="D48" s="33"/>
      <c r="E48" s="6" t="s">
        <v>279</v>
      </c>
    </row>
    <row r="49" spans="1:5">
      <c r="A49" s="136"/>
      <c r="B49" s="16" t="s">
        <v>280</v>
      </c>
      <c r="C49" s="17">
        <v>72837</v>
      </c>
      <c r="D49" s="33"/>
      <c r="E49" s="6"/>
    </row>
    <row r="50" spans="1:5">
      <c r="A50" s="136"/>
      <c r="B50" s="7" t="s">
        <v>281</v>
      </c>
      <c r="C50" s="17">
        <v>71548</v>
      </c>
      <c r="D50" s="33"/>
      <c r="E50" s="6"/>
    </row>
    <row r="51" spans="1:5">
      <c r="A51" s="136"/>
      <c r="B51" s="7" t="s">
        <v>282</v>
      </c>
      <c r="C51" s="17">
        <v>3303</v>
      </c>
      <c r="D51" s="33"/>
      <c r="E51" s="6" t="s">
        <v>283</v>
      </c>
    </row>
    <row r="52" spans="1:5">
      <c r="A52" s="136"/>
      <c r="B52" s="14" t="s">
        <v>284</v>
      </c>
      <c r="C52" s="17">
        <v>3336.8</v>
      </c>
      <c r="D52" s="33"/>
      <c r="E52" s="6"/>
    </row>
    <row r="53" spans="1:5">
      <c r="A53" s="136"/>
      <c r="B53" s="7" t="s">
        <v>285</v>
      </c>
      <c r="C53" s="17">
        <v>4180</v>
      </c>
      <c r="D53" s="33"/>
      <c r="E53" s="6" t="s">
        <v>235</v>
      </c>
    </row>
    <row r="54" spans="1:5">
      <c r="A54" s="136"/>
      <c r="B54" s="7" t="s">
        <v>286</v>
      </c>
      <c r="C54" s="17">
        <v>5348</v>
      </c>
      <c r="D54" s="33"/>
      <c r="E54" s="6"/>
    </row>
    <row r="55" spans="1:5">
      <c r="A55" s="136"/>
      <c r="B55" s="13" t="s">
        <v>287</v>
      </c>
      <c r="C55" s="17">
        <v>18571.25</v>
      </c>
      <c r="D55" s="33"/>
      <c r="E55" s="6"/>
    </row>
    <row r="56" spans="1:5">
      <c r="A56" s="139" t="s">
        <v>43</v>
      </c>
      <c r="B56" s="35" t="s">
        <v>288</v>
      </c>
      <c r="C56" s="17">
        <v>15900</v>
      </c>
      <c r="D56" s="33"/>
      <c r="E56" s="6"/>
    </row>
    <row r="57" spans="1:5">
      <c r="A57" s="139"/>
      <c r="B57" s="16" t="s">
        <v>289</v>
      </c>
      <c r="C57" s="17">
        <v>376380</v>
      </c>
      <c r="D57" s="33"/>
      <c r="E57" s="6" t="s">
        <v>290</v>
      </c>
    </row>
    <row r="58" spans="1:5">
      <c r="A58" s="139"/>
      <c r="B58" s="14" t="s">
        <v>291</v>
      </c>
      <c r="C58" s="17">
        <v>3600</v>
      </c>
      <c r="D58" s="33"/>
      <c r="E58" s="6"/>
    </row>
    <row r="59" spans="1:5">
      <c r="A59" s="139"/>
      <c r="B59" s="14" t="s">
        <v>292</v>
      </c>
      <c r="C59" s="17">
        <v>10065</v>
      </c>
      <c r="D59" s="33"/>
      <c r="E59" s="6" t="s">
        <v>293</v>
      </c>
    </row>
    <row r="60" spans="1:5">
      <c r="A60" s="139"/>
      <c r="B60" s="14" t="s">
        <v>294</v>
      </c>
      <c r="C60" s="17">
        <v>9400</v>
      </c>
      <c r="D60" s="33"/>
      <c r="E60" s="6" t="s">
        <v>293</v>
      </c>
    </row>
    <row r="61" spans="1:5">
      <c r="A61" s="139"/>
      <c r="B61" s="36" t="s">
        <v>295</v>
      </c>
      <c r="C61" s="17">
        <v>1850</v>
      </c>
      <c r="D61" s="33"/>
      <c r="E61" s="6" t="s">
        <v>235</v>
      </c>
    </row>
    <row r="62" spans="1:5">
      <c r="A62" s="139"/>
      <c r="B62" s="14" t="s">
        <v>296</v>
      </c>
      <c r="C62" s="17">
        <v>1200</v>
      </c>
      <c r="D62" s="33"/>
      <c r="E62" s="6" t="s">
        <v>235</v>
      </c>
    </row>
    <row r="63" spans="1:5">
      <c r="A63" s="139"/>
      <c r="B63" s="12" t="s">
        <v>297</v>
      </c>
      <c r="C63" s="17">
        <v>39525</v>
      </c>
      <c r="D63" s="33"/>
      <c r="E63" s="6" t="s">
        <v>235</v>
      </c>
    </row>
    <row r="64" spans="1:5">
      <c r="A64" s="139"/>
      <c r="B64" s="14" t="s">
        <v>298</v>
      </c>
      <c r="C64" s="17">
        <v>3132.5</v>
      </c>
      <c r="D64" s="33"/>
      <c r="E64" s="6"/>
    </row>
    <row r="65" spans="1:5">
      <c r="A65" s="139"/>
      <c r="B65" s="12" t="s">
        <v>299</v>
      </c>
      <c r="C65" s="17">
        <v>5500</v>
      </c>
      <c r="D65" s="33"/>
      <c r="E65" s="6" t="s">
        <v>235</v>
      </c>
    </row>
    <row r="66" spans="1:5">
      <c r="A66" s="135" t="s">
        <v>52</v>
      </c>
      <c r="B66" s="14" t="s">
        <v>300</v>
      </c>
      <c r="C66" s="17">
        <v>25094.38</v>
      </c>
      <c r="D66" s="33"/>
      <c r="E66" s="6"/>
    </row>
    <row r="67" spans="1:5">
      <c r="A67" s="136"/>
      <c r="B67" s="14" t="s">
        <v>301</v>
      </c>
      <c r="C67" s="17">
        <v>2790</v>
      </c>
      <c r="D67" s="33"/>
      <c r="E67" s="6"/>
    </row>
    <row r="68" spans="1:5">
      <c r="A68" s="136"/>
      <c r="B68" s="14" t="s">
        <v>275</v>
      </c>
      <c r="C68" s="17">
        <v>400</v>
      </c>
      <c r="D68" s="33"/>
      <c r="E68" s="6"/>
    </row>
    <row r="69" spans="1:5">
      <c r="A69" s="136"/>
      <c r="B69" s="14" t="s">
        <v>302</v>
      </c>
      <c r="C69" s="17">
        <v>363.6</v>
      </c>
      <c r="D69" s="33"/>
      <c r="E69" s="6" t="s">
        <v>303</v>
      </c>
    </row>
    <row r="70" spans="1:5">
      <c r="A70" s="136"/>
      <c r="B70" s="7" t="s">
        <v>304</v>
      </c>
      <c r="C70" s="17">
        <v>24650</v>
      </c>
      <c r="D70" s="33"/>
      <c r="E70" s="6"/>
    </row>
    <row r="71" spans="1:5">
      <c r="A71" s="136"/>
      <c r="B71" s="13" t="s">
        <v>305</v>
      </c>
      <c r="C71" s="17">
        <v>18516.98</v>
      </c>
      <c r="D71" s="33"/>
      <c r="E71" s="6"/>
    </row>
    <row r="72" spans="1:5">
      <c r="A72" s="136"/>
      <c r="B72" s="14" t="s">
        <v>306</v>
      </c>
      <c r="C72" s="17">
        <v>500</v>
      </c>
      <c r="D72" s="33"/>
      <c r="E72" s="6"/>
    </row>
    <row r="73" spans="1:5">
      <c r="A73" s="136"/>
      <c r="B73" s="14" t="s">
        <v>307</v>
      </c>
      <c r="C73" s="17">
        <v>48939.7</v>
      </c>
      <c r="D73" s="33"/>
      <c r="E73" s="6"/>
    </row>
    <row r="74" spans="1:5">
      <c r="A74" s="136"/>
      <c r="B74" s="14" t="s">
        <v>308</v>
      </c>
      <c r="C74" s="17">
        <v>9670.5</v>
      </c>
      <c r="D74" s="33"/>
      <c r="E74" s="6"/>
    </row>
    <row r="75" spans="1:5">
      <c r="A75" s="136"/>
      <c r="B75" s="16" t="s">
        <v>309</v>
      </c>
      <c r="C75" s="17">
        <v>363420</v>
      </c>
      <c r="D75" s="33"/>
      <c r="E75" s="6" t="s">
        <v>310</v>
      </c>
    </row>
    <row r="76" spans="1:5">
      <c r="A76" s="136"/>
      <c r="B76" s="14" t="s">
        <v>311</v>
      </c>
      <c r="C76" s="17">
        <v>3915</v>
      </c>
      <c r="D76" s="33"/>
      <c r="E76" s="6"/>
    </row>
    <row r="77" spans="1:5">
      <c r="A77" s="136"/>
      <c r="B77" s="14" t="s">
        <v>312</v>
      </c>
      <c r="C77" s="17">
        <v>400</v>
      </c>
      <c r="D77" s="33"/>
      <c r="E77" s="6" t="s">
        <v>235</v>
      </c>
    </row>
    <row r="78" spans="1:5">
      <c r="A78" s="136"/>
      <c r="B78" s="14" t="s">
        <v>313</v>
      </c>
      <c r="C78" s="17">
        <v>27000</v>
      </c>
      <c r="D78" s="33"/>
      <c r="E78" s="6"/>
    </row>
    <row r="79" spans="1:5">
      <c r="A79" s="139" t="s">
        <v>63</v>
      </c>
      <c r="B79" s="14" t="s">
        <v>314</v>
      </c>
      <c r="C79" s="17">
        <v>350</v>
      </c>
      <c r="D79" s="33"/>
      <c r="E79" s="6"/>
    </row>
    <row r="80" spans="1:5">
      <c r="A80" s="139"/>
      <c r="B80" s="14" t="s">
        <v>315</v>
      </c>
      <c r="C80" s="17">
        <v>42800</v>
      </c>
      <c r="D80" s="33"/>
      <c r="E80" s="6" t="s">
        <v>316</v>
      </c>
    </row>
    <row r="81" spans="1:5">
      <c r="A81" s="139"/>
      <c r="B81" s="14" t="s">
        <v>317</v>
      </c>
      <c r="C81" s="17">
        <v>3920</v>
      </c>
      <c r="D81" s="33"/>
      <c r="E81" s="6" t="s">
        <v>316</v>
      </c>
    </row>
    <row r="82" spans="1:5">
      <c r="A82" s="139"/>
      <c r="B82" s="14" t="s">
        <v>318</v>
      </c>
      <c r="C82" s="17">
        <v>5350</v>
      </c>
      <c r="D82" s="33"/>
      <c r="E82" s="6" t="s">
        <v>319</v>
      </c>
    </row>
    <row r="83" spans="1:5">
      <c r="A83" s="139"/>
      <c r="B83" s="25" t="s">
        <v>320</v>
      </c>
      <c r="C83" s="17">
        <v>530</v>
      </c>
      <c r="D83" s="33"/>
      <c r="E83" s="6" t="s">
        <v>319</v>
      </c>
    </row>
    <row r="84" spans="1:5">
      <c r="A84" s="139"/>
      <c r="B84" s="25" t="s">
        <v>321</v>
      </c>
      <c r="C84" s="17">
        <v>2000</v>
      </c>
      <c r="D84" s="33"/>
      <c r="E84" s="6" t="s">
        <v>235</v>
      </c>
    </row>
    <row r="85" spans="1:5">
      <c r="A85" s="139"/>
      <c r="B85" s="16" t="s">
        <v>322</v>
      </c>
      <c r="C85" s="17">
        <v>137581</v>
      </c>
      <c r="D85" s="33"/>
      <c r="E85" s="17" t="s">
        <v>323</v>
      </c>
    </row>
    <row r="86" spans="1:5">
      <c r="A86" s="139"/>
      <c r="B86" s="25" t="s">
        <v>324</v>
      </c>
      <c r="C86" s="17">
        <v>580</v>
      </c>
      <c r="D86" s="33"/>
      <c r="E86" s="6" t="s">
        <v>325</v>
      </c>
    </row>
    <row r="87" spans="1:5">
      <c r="A87" s="139"/>
      <c r="B87" s="16" t="s">
        <v>326</v>
      </c>
      <c r="C87" s="17">
        <v>378030</v>
      </c>
      <c r="D87" s="33"/>
      <c r="E87" s="6" t="s">
        <v>327</v>
      </c>
    </row>
    <row r="88" spans="1:5">
      <c r="A88" s="139"/>
      <c r="B88" s="12" t="s">
        <v>328</v>
      </c>
      <c r="C88" s="17">
        <v>55000</v>
      </c>
      <c r="D88" s="33"/>
      <c r="E88" s="6"/>
    </row>
    <row r="89" spans="1:5">
      <c r="A89" s="139"/>
      <c r="B89" s="14" t="s">
        <v>329</v>
      </c>
      <c r="C89" s="17">
        <v>5572.5</v>
      </c>
      <c r="D89" s="33"/>
      <c r="E89" s="6"/>
    </row>
    <row r="90" spans="1:5">
      <c r="A90" s="139"/>
      <c r="B90" s="14" t="s">
        <v>330</v>
      </c>
      <c r="C90" s="17">
        <v>44980</v>
      </c>
      <c r="D90" s="33"/>
      <c r="E90" s="6"/>
    </row>
    <row r="91" spans="1:5">
      <c r="A91" s="136" t="s">
        <v>75</v>
      </c>
      <c r="B91" s="37" t="s">
        <v>331</v>
      </c>
      <c r="C91" s="38">
        <v>6930.83</v>
      </c>
      <c r="D91" s="39"/>
      <c r="E91" s="40" t="s">
        <v>332</v>
      </c>
    </row>
    <row r="92" spans="1:5">
      <c r="A92" s="136"/>
      <c r="B92" s="37" t="s">
        <v>333</v>
      </c>
      <c r="C92" s="41">
        <v>1799.62</v>
      </c>
      <c r="D92" s="39"/>
      <c r="E92" s="40"/>
    </row>
    <row r="93" spans="1:5">
      <c r="A93" s="136"/>
      <c r="B93" s="37" t="s">
        <v>334</v>
      </c>
      <c r="C93" s="38">
        <v>5285.8</v>
      </c>
      <c r="D93" s="39"/>
      <c r="E93" s="40"/>
    </row>
    <row r="94" spans="1:5">
      <c r="A94" s="136"/>
      <c r="B94" s="37" t="s">
        <v>335</v>
      </c>
      <c r="C94" s="38">
        <v>3684.6</v>
      </c>
      <c r="D94" s="39"/>
      <c r="E94" s="40"/>
    </row>
    <row r="95" spans="1:5">
      <c r="A95" s="136"/>
      <c r="B95" s="37" t="s">
        <v>336</v>
      </c>
      <c r="C95" s="38">
        <v>32977.96</v>
      </c>
      <c r="D95" s="39"/>
      <c r="E95" s="40"/>
    </row>
    <row r="96" spans="1:5">
      <c r="A96" s="136"/>
      <c r="B96" s="37" t="s">
        <v>337</v>
      </c>
      <c r="C96" s="38">
        <v>3887.63</v>
      </c>
      <c r="D96" s="39"/>
      <c r="E96" s="40"/>
    </row>
    <row r="97" spans="1:5">
      <c r="A97" s="136"/>
      <c r="B97" s="14" t="s">
        <v>338</v>
      </c>
      <c r="C97" s="17">
        <v>10000</v>
      </c>
      <c r="D97" s="33"/>
      <c r="E97" s="6" t="s">
        <v>339</v>
      </c>
    </row>
    <row r="98" spans="1:5">
      <c r="A98" s="136"/>
      <c r="B98" s="14" t="s">
        <v>340</v>
      </c>
      <c r="C98" s="19">
        <v>109500</v>
      </c>
      <c r="D98" s="33"/>
      <c r="E98" s="6"/>
    </row>
    <row r="99" spans="1:5">
      <c r="A99" s="136"/>
      <c r="B99" s="7" t="s">
        <v>282</v>
      </c>
      <c r="C99" s="17">
        <v>1650</v>
      </c>
      <c r="D99" s="33"/>
      <c r="E99" s="6" t="s">
        <v>283</v>
      </c>
    </row>
    <row r="100" spans="1:5">
      <c r="A100" s="136"/>
      <c r="B100" s="13" t="s">
        <v>341</v>
      </c>
      <c r="C100" s="17">
        <v>18516.98</v>
      </c>
      <c r="D100" s="33"/>
      <c r="E100" s="6"/>
    </row>
    <row r="101" spans="1:5">
      <c r="A101" s="136"/>
      <c r="B101" s="14" t="s">
        <v>342</v>
      </c>
      <c r="C101" s="17">
        <v>35948.5</v>
      </c>
      <c r="D101" s="33"/>
      <c r="E101" s="6" t="s">
        <v>283</v>
      </c>
    </row>
    <row r="102" spans="1:5">
      <c r="A102" s="136"/>
      <c r="B102" s="14" t="s">
        <v>343</v>
      </c>
      <c r="C102" s="17">
        <v>2980</v>
      </c>
      <c r="D102" s="33"/>
      <c r="E102" s="6" t="s">
        <v>283</v>
      </c>
    </row>
    <row r="103" spans="1:5">
      <c r="A103" s="136"/>
      <c r="B103" s="14" t="s">
        <v>344</v>
      </c>
      <c r="C103" s="17">
        <v>2700</v>
      </c>
      <c r="D103" s="33"/>
      <c r="E103" s="6"/>
    </row>
    <row r="104" spans="1:5">
      <c r="A104" s="136"/>
      <c r="B104" s="14" t="s">
        <v>345</v>
      </c>
      <c r="C104" s="17">
        <v>4350</v>
      </c>
      <c r="D104" s="33"/>
      <c r="E104" s="6" t="s">
        <v>346</v>
      </c>
    </row>
    <row r="105" spans="1:5">
      <c r="A105" s="136"/>
      <c r="B105" s="14" t="s">
        <v>347</v>
      </c>
      <c r="C105" s="17">
        <v>4718.1099999999997</v>
      </c>
      <c r="D105" s="33"/>
      <c r="E105" s="6"/>
    </row>
    <row r="106" spans="1:5">
      <c r="A106" s="136"/>
      <c r="B106" s="14" t="s">
        <v>348</v>
      </c>
      <c r="C106" s="17">
        <v>2000</v>
      </c>
      <c r="D106" s="33"/>
      <c r="E106" s="6" t="s">
        <v>235</v>
      </c>
    </row>
    <row r="107" spans="1:5">
      <c r="A107" s="136"/>
      <c r="B107" s="14" t="s">
        <v>349</v>
      </c>
      <c r="C107" s="17">
        <v>2025</v>
      </c>
      <c r="D107" s="33"/>
      <c r="E107" s="6"/>
    </row>
    <row r="108" spans="1:5">
      <c r="A108" s="139" t="s">
        <v>97</v>
      </c>
      <c r="B108" s="14" t="s">
        <v>350</v>
      </c>
      <c r="C108" s="17">
        <v>2760</v>
      </c>
      <c r="D108" s="33"/>
      <c r="E108" s="6"/>
    </row>
    <row r="109" spans="1:5">
      <c r="A109" s="139"/>
      <c r="B109" s="12" t="s">
        <v>351</v>
      </c>
      <c r="C109" s="17">
        <v>5500</v>
      </c>
      <c r="D109" s="33"/>
      <c r="E109" s="6" t="s">
        <v>235</v>
      </c>
    </row>
    <row r="110" spans="1:5">
      <c r="A110" s="139"/>
      <c r="B110" s="14" t="s">
        <v>352</v>
      </c>
      <c r="C110" s="17">
        <v>41827.81</v>
      </c>
      <c r="D110" s="33"/>
      <c r="E110" s="6"/>
    </row>
    <row r="111" spans="1:5">
      <c r="A111" s="139"/>
      <c r="B111" s="14" t="s">
        <v>353</v>
      </c>
      <c r="C111" s="17">
        <v>12000</v>
      </c>
      <c r="D111" s="33"/>
      <c r="E111" s="6" t="s">
        <v>354</v>
      </c>
    </row>
    <row r="112" spans="1:5">
      <c r="A112" s="139"/>
      <c r="B112" s="14" t="s">
        <v>355</v>
      </c>
      <c r="C112" s="17">
        <v>224.59</v>
      </c>
      <c r="D112" s="33"/>
      <c r="E112" s="6" t="s">
        <v>356</v>
      </c>
    </row>
    <row r="113" spans="1:5">
      <c r="A113" s="139"/>
      <c r="B113" s="14" t="s">
        <v>357</v>
      </c>
      <c r="C113" s="17">
        <v>200</v>
      </c>
      <c r="D113" s="33"/>
      <c r="E113" s="6" t="s">
        <v>235</v>
      </c>
    </row>
    <row r="114" spans="1:5">
      <c r="A114" s="139"/>
      <c r="B114" s="14" t="s">
        <v>270</v>
      </c>
      <c r="C114" s="17">
        <v>978</v>
      </c>
      <c r="D114" s="33"/>
      <c r="E114" s="6"/>
    </row>
    <row r="115" spans="1:5">
      <c r="A115" s="139"/>
      <c r="B115" s="16" t="s">
        <v>358</v>
      </c>
      <c r="C115" s="17">
        <v>363420</v>
      </c>
      <c r="D115" s="33"/>
      <c r="E115" s="6" t="s">
        <v>310</v>
      </c>
    </row>
    <row r="116" spans="1:5">
      <c r="A116" s="139"/>
      <c r="B116" s="14" t="s">
        <v>359</v>
      </c>
      <c r="C116" s="17">
        <v>1090.8</v>
      </c>
      <c r="D116" s="33"/>
      <c r="E116" s="6"/>
    </row>
    <row r="117" spans="1:5">
      <c r="A117" s="139"/>
      <c r="B117" s="14" t="s">
        <v>360</v>
      </c>
      <c r="C117" s="17">
        <v>27200</v>
      </c>
      <c r="D117" s="33"/>
      <c r="E117" s="6"/>
    </row>
    <row r="118" spans="1:5">
      <c r="A118" s="139"/>
      <c r="B118" s="14" t="s">
        <v>361</v>
      </c>
      <c r="C118" s="17">
        <v>6760.1</v>
      </c>
      <c r="D118" s="33"/>
      <c r="E118" s="6"/>
    </row>
    <row r="119" spans="1:5">
      <c r="A119" s="139"/>
      <c r="B119" s="14" t="s">
        <v>362</v>
      </c>
      <c r="C119" s="17">
        <v>3790</v>
      </c>
      <c r="D119" s="33"/>
      <c r="E119" s="6"/>
    </row>
    <row r="120" spans="1:5">
      <c r="A120" s="139"/>
      <c r="B120" s="14" t="s">
        <v>363</v>
      </c>
      <c r="C120" s="17">
        <v>4086</v>
      </c>
      <c r="D120" s="33"/>
      <c r="E120" s="6"/>
    </row>
    <row r="121" spans="1:5">
      <c r="A121" s="136" t="s">
        <v>209</v>
      </c>
      <c r="B121" s="14" t="s">
        <v>364</v>
      </c>
      <c r="C121" s="17">
        <v>12600</v>
      </c>
      <c r="D121" s="33"/>
      <c r="E121" s="6"/>
    </row>
    <row r="122" spans="1:5">
      <c r="A122" s="136"/>
      <c r="B122" s="14" t="s">
        <v>365</v>
      </c>
      <c r="C122" s="17">
        <v>123455.78</v>
      </c>
      <c r="D122" s="33"/>
      <c r="E122" s="6"/>
    </row>
    <row r="123" spans="1:5">
      <c r="A123" s="136"/>
      <c r="B123" s="7" t="s">
        <v>366</v>
      </c>
      <c r="C123" s="42">
        <v>5000</v>
      </c>
      <c r="D123" s="33"/>
      <c r="E123" s="65" t="s">
        <v>480</v>
      </c>
    </row>
    <row r="124" spans="1:5">
      <c r="A124" s="136"/>
      <c r="B124" s="13" t="s">
        <v>367</v>
      </c>
      <c r="C124" s="17">
        <v>18696.5</v>
      </c>
      <c r="D124" s="33"/>
      <c r="E124" s="6"/>
    </row>
    <row r="125" spans="1:5">
      <c r="A125" s="136"/>
      <c r="B125" s="16" t="s">
        <v>368</v>
      </c>
      <c r="C125" s="17">
        <v>131254.5</v>
      </c>
      <c r="D125" s="33"/>
      <c r="E125" s="6"/>
    </row>
    <row r="126" spans="1:5">
      <c r="A126" s="136"/>
      <c r="B126" s="14" t="s">
        <v>369</v>
      </c>
      <c r="C126" s="17">
        <v>2400</v>
      </c>
      <c r="D126" s="33"/>
      <c r="E126" s="6"/>
    </row>
    <row r="127" spans="1:5">
      <c r="A127" s="136"/>
      <c r="B127" s="7" t="s">
        <v>282</v>
      </c>
      <c r="C127" s="17">
        <v>6460</v>
      </c>
      <c r="D127" s="33"/>
      <c r="E127" s="6" t="s">
        <v>283</v>
      </c>
    </row>
    <row r="128" spans="1:5">
      <c r="A128" s="136"/>
      <c r="B128" s="12" t="s">
        <v>370</v>
      </c>
      <c r="C128" s="17">
        <v>28800</v>
      </c>
      <c r="D128" s="33"/>
      <c r="E128" s="6"/>
    </row>
    <row r="129" spans="1:5">
      <c r="A129" s="136"/>
      <c r="B129" s="14" t="s">
        <v>371</v>
      </c>
      <c r="C129" s="17">
        <v>380</v>
      </c>
      <c r="D129" s="33"/>
      <c r="E129" s="6"/>
    </row>
    <row r="130" spans="1:5">
      <c r="A130" s="136"/>
      <c r="B130" s="14" t="s">
        <v>372</v>
      </c>
      <c r="C130" s="17">
        <v>49405.23</v>
      </c>
      <c r="D130" s="33"/>
      <c r="E130" s="6"/>
    </row>
    <row r="131" spans="1:5">
      <c r="A131" s="136"/>
      <c r="B131" s="14" t="s">
        <v>373</v>
      </c>
      <c r="C131" s="17">
        <v>2257</v>
      </c>
      <c r="D131" s="33"/>
      <c r="E131" s="6"/>
    </row>
    <row r="132" spans="1:5">
      <c r="A132" s="136"/>
      <c r="B132" s="14" t="s">
        <v>374</v>
      </c>
      <c r="C132" s="17">
        <v>71412</v>
      </c>
      <c r="D132" s="33"/>
      <c r="E132" s="6" t="s">
        <v>375</v>
      </c>
    </row>
    <row r="133" spans="1:5">
      <c r="A133" s="135" t="s">
        <v>112</v>
      </c>
      <c r="B133" s="14" t="s">
        <v>376</v>
      </c>
      <c r="C133" s="17">
        <v>2500</v>
      </c>
      <c r="D133" s="33"/>
      <c r="E133" s="6"/>
    </row>
    <row r="134" spans="1:5">
      <c r="A134" s="136"/>
      <c r="B134" s="16" t="s">
        <v>377</v>
      </c>
      <c r="C134" s="17">
        <v>376830</v>
      </c>
      <c r="D134" s="33"/>
      <c r="E134" s="6"/>
    </row>
    <row r="135" spans="1:5">
      <c r="A135" s="136"/>
      <c r="B135" s="14" t="s">
        <v>378</v>
      </c>
      <c r="C135" s="17">
        <v>48553.9</v>
      </c>
      <c r="D135" s="33"/>
      <c r="E135" s="6"/>
    </row>
    <row r="136" spans="1:5">
      <c r="A136" s="136"/>
      <c r="B136" s="22" t="s">
        <v>379</v>
      </c>
      <c r="C136" s="17">
        <v>47910</v>
      </c>
      <c r="D136" s="33"/>
      <c r="E136" s="6"/>
    </row>
    <row r="137" spans="1:5">
      <c r="A137" s="136"/>
      <c r="B137" s="14" t="s">
        <v>380</v>
      </c>
      <c r="C137" s="17">
        <v>23203.9</v>
      </c>
      <c r="D137" s="33"/>
      <c r="E137" s="6"/>
    </row>
    <row r="138" spans="1:5">
      <c r="A138" s="136"/>
      <c r="B138" s="35" t="s">
        <v>381</v>
      </c>
      <c r="C138" s="17">
        <v>15900</v>
      </c>
      <c r="D138" s="33"/>
      <c r="E138" s="6"/>
    </row>
    <row r="139" spans="1:5">
      <c r="A139" s="136"/>
      <c r="B139" s="22" t="s">
        <v>382</v>
      </c>
      <c r="C139" s="17">
        <v>37500</v>
      </c>
      <c r="D139" s="33"/>
      <c r="E139" s="6" t="s">
        <v>283</v>
      </c>
    </row>
    <row r="140" spans="1:5">
      <c r="A140" s="136"/>
      <c r="B140" s="14" t="s">
        <v>383</v>
      </c>
      <c r="C140" s="17">
        <v>2410</v>
      </c>
      <c r="D140" s="33"/>
      <c r="E140" s="6"/>
    </row>
    <row r="141" spans="1:5">
      <c r="A141" s="136"/>
      <c r="B141" s="7" t="s">
        <v>282</v>
      </c>
      <c r="C141" s="17">
        <v>4630</v>
      </c>
      <c r="D141" s="33"/>
      <c r="E141" s="6" t="s">
        <v>283</v>
      </c>
    </row>
    <row r="142" spans="1:5">
      <c r="A142" s="136"/>
      <c r="B142" s="14" t="s">
        <v>384</v>
      </c>
      <c r="C142" s="17">
        <v>2980</v>
      </c>
      <c r="D142" s="33"/>
      <c r="E142" s="6" t="s">
        <v>283</v>
      </c>
    </row>
    <row r="143" spans="1:5">
      <c r="A143" s="136"/>
      <c r="B143" s="14" t="s">
        <v>385</v>
      </c>
      <c r="C143" s="17">
        <v>12351</v>
      </c>
      <c r="D143" s="33"/>
      <c r="E143" s="6" t="s">
        <v>283</v>
      </c>
    </row>
    <row r="144" spans="1:5">
      <c r="A144" s="21" t="s">
        <v>129</v>
      </c>
      <c r="B144" s="27"/>
      <c r="C144" s="17"/>
      <c r="D144" s="21"/>
      <c r="E144" s="6"/>
    </row>
  </sheetData>
  <mergeCells count="13">
    <mergeCell ref="A133:A143"/>
    <mergeCell ref="A56:A65"/>
    <mergeCell ref="A66:A78"/>
    <mergeCell ref="A79:A90"/>
    <mergeCell ref="A91:A107"/>
    <mergeCell ref="A108:A120"/>
    <mergeCell ref="A121:A132"/>
    <mergeCell ref="A1:D1"/>
    <mergeCell ref="A3:A13"/>
    <mergeCell ref="A15:A20"/>
    <mergeCell ref="A21:A31"/>
    <mergeCell ref="A32:A44"/>
    <mergeCell ref="A45:A55"/>
  </mergeCells>
  <phoneticPr fontId="4" type="noConversion"/>
  <conditionalFormatting sqref="E85">
    <cfRule type="cellIs" dxfId="505" priority="40" operator="equal">
      <formula>5000</formula>
    </cfRule>
    <cfRule type="cellIs" dxfId="504" priority="41" operator="equal">
      <formula>5000</formula>
    </cfRule>
  </conditionalFormatting>
  <conditionalFormatting sqref="C87">
    <cfRule type="cellIs" dxfId="503" priority="38" operator="equal">
      <formula>5000</formula>
    </cfRule>
    <cfRule type="cellIs" dxfId="502" priority="39" operator="equal">
      <formula>5000</formula>
    </cfRule>
  </conditionalFormatting>
  <conditionalFormatting sqref="C88">
    <cfRule type="cellIs" dxfId="501" priority="36" operator="equal">
      <formula>5000</formula>
    </cfRule>
    <cfRule type="cellIs" dxfId="500" priority="37" operator="equal">
      <formula>5000</formula>
    </cfRule>
  </conditionalFormatting>
  <conditionalFormatting sqref="C99">
    <cfRule type="cellIs" dxfId="499" priority="32" operator="equal">
      <formula>5000</formula>
    </cfRule>
    <cfRule type="cellIs" dxfId="498" priority="33" operator="equal">
      <formula>5000</formula>
    </cfRule>
  </conditionalFormatting>
  <conditionalFormatting sqref="C100">
    <cfRule type="cellIs" dxfId="497" priority="30" operator="equal">
      <formula>5000</formula>
    </cfRule>
    <cfRule type="cellIs" dxfId="496" priority="31" operator="equal">
      <formula>5000</formula>
    </cfRule>
  </conditionalFormatting>
  <conditionalFormatting sqref="C109">
    <cfRule type="cellIs" dxfId="495" priority="26" operator="equal">
      <formula>5000</formula>
    </cfRule>
    <cfRule type="cellIs" dxfId="494" priority="27" operator="equal">
      <formula>5000</formula>
    </cfRule>
  </conditionalFormatting>
  <conditionalFormatting sqref="C115">
    <cfRule type="cellIs" dxfId="493" priority="24" operator="equal">
      <formula>5000</formula>
    </cfRule>
    <cfRule type="cellIs" dxfId="492" priority="25" operator="equal">
      <formula>5000</formula>
    </cfRule>
  </conditionalFormatting>
  <conditionalFormatting sqref="B123">
    <cfRule type="containsText" dxfId="491" priority="17" operator="containsText" text="昌地">
      <formula>NOT(ISERROR(SEARCH("昌地",B123)))</formula>
    </cfRule>
  </conditionalFormatting>
  <conditionalFormatting sqref="C127">
    <cfRule type="cellIs" dxfId="490" priority="15" operator="equal">
      <formula>5000</formula>
    </cfRule>
    <cfRule type="cellIs" dxfId="489" priority="16" operator="equal">
      <formula>5000</formula>
    </cfRule>
  </conditionalFormatting>
  <conditionalFormatting sqref="C128">
    <cfRule type="cellIs" dxfId="488" priority="13" operator="equal">
      <formula>5000</formula>
    </cfRule>
    <cfRule type="cellIs" dxfId="487" priority="14" operator="equal">
      <formula>5000</formula>
    </cfRule>
  </conditionalFormatting>
  <conditionalFormatting sqref="C135">
    <cfRule type="cellIs" dxfId="486" priority="5" operator="equal">
      <formula>5000</formula>
    </cfRule>
    <cfRule type="cellIs" dxfId="485" priority="6" operator="equal">
      <formula>5000</formula>
    </cfRule>
  </conditionalFormatting>
  <conditionalFormatting sqref="C138">
    <cfRule type="cellIs" dxfId="484" priority="3" operator="equal">
      <formula>5000</formula>
    </cfRule>
    <cfRule type="cellIs" dxfId="483" priority="4" operator="equal">
      <formula>5000</formula>
    </cfRule>
  </conditionalFormatting>
  <conditionalFormatting sqref="C141">
    <cfRule type="cellIs" dxfId="482" priority="1" operator="equal">
      <formula>5000</formula>
    </cfRule>
    <cfRule type="cellIs" dxfId="481" priority="2" operator="equal">
      <formula>5000</formula>
    </cfRule>
  </conditionalFormatting>
  <conditionalFormatting sqref="C91:C95">
    <cfRule type="cellIs" dxfId="480" priority="34" operator="equal">
      <formula>5000</formula>
    </cfRule>
    <cfRule type="cellIs" dxfId="479" priority="35" operator="equal">
      <formula>5000</formula>
    </cfRule>
  </conditionalFormatting>
  <conditionalFormatting sqref="C103:C104">
    <cfRule type="cellIs" dxfId="478" priority="28" operator="equal">
      <formula>5000</formula>
    </cfRule>
    <cfRule type="cellIs" dxfId="477" priority="29" operator="equal">
      <formula>5000</formula>
    </cfRule>
  </conditionalFormatting>
  <conditionalFormatting sqref="C124:C125">
    <cfRule type="cellIs" dxfId="476" priority="18" operator="equal">
      <formula>5000</formula>
    </cfRule>
    <cfRule type="cellIs" dxfId="475" priority="19" operator="equal">
      <formula>5000</formula>
    </cfRule>
  </conditionalFormatting>
  <conditionalFormatting sqref="C133:C134">
    <cfRule type="cellIs" dxfId="474" priority="7" operator="equal">
      <formula>5000</formula>
    </cfRule>
    <cfRule type="cellIs" dxfId="473" priority="8" operator="equal">
      <formula>5000</formula>
    </cfRule>
  </conditionalFormatting>
  <conditionalFormatting sqref="C13:C86 C89:C90 C1:C11 C96:C98 C101:C102 C105:C108 C110:C114 C116:C121 C132 C142:C65536 C139:C140 C136:C137">
    <cfRule type="cellIs" dxfId="472" priority="59" operator="equal">
      <formula>5000</formula>
    </cfRule>
    <cfRule type="cellIs" dxfId="471" priority="60" operator="equal">
      <formula>5000</formula>
    </cfRule>
  </conditionalFormatting>
  <conditionalFormatting sqref="C122 C130:C131">
    <cfRule type="cellIs" dxfId="470" priority="22" operator="equal">
      <formula>5000</formula>
    </cfRule>
    <cfRule type="cellIs" dxfId="469" priority="23" operator="equal">
      <formula>5000</formula>
    </cfRule>
  </conditionalFormatting>
  <conditionalFormatting sqref="C126 C129">
    <cfRule type="cellIs" dxfId="468" priority="20" operator="equal">
      <formula>5000</formula>
    </cfRule>
    <cfRule type="cellIs" dxfId="467" priority="21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opLeftCell="A25" zoomScaleSheetLayoutView="100" workbookViewId="0">
      <selection activeCell="B37" sqref="B37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16384" width="9" style="1"/>
  </cols>
  <sheetData>
    <row r="1" spans="1:4">
      <c r="A1" s="134" t="s">
        <v>386</v>
      </c>
      <c r="B1" s="134"/>
      <c r="C1" s="134"/>
    </row>
    <row r="2" spans="1:4">
      <c r="A2" s="4" t="s">
        <v>1</v>
      </c>
      <c r="B2" s="4" t="s">
        <v>2</v>
      </c>
      <c r="C2" s="5" t="s">
        <v>3</v>
      </c>
      <c r="D2" s="6"/>
    </row>
    <row r="3" spans="1:4">
      <c r="A3" s="135" t="s">
        <v>5</v>
      </c>
      <c r="B3" s="7" t="s">
        <v>114</v>
      </c>
      <c r="C3" s="8">
        <v>9600</v>
      </c>
      <c r="D3" s="9"/>
    </row>
    <row r="4" spans="1:4">
      <c r="A4" s="136"/>
      <c r="B4" s="11" t="s">
        <v>620</v>
      </c>
      <c r="C4" s="8">
        <v>28177.82</v>
      </c>
      <c r="D4" s="9"/>
    </row>
    <row r="5" spans="1:4">
      <c r="A5" s="136"/>
      <c r="B5" s="12" t="s">
        <v>387</v>
      </c>
      <c r="C5" s="8">
        <v>7000</v>
      </c>
      <c r="D5" s="9" t="s">
        <v>235</v>
      </c>
    </row>
    <row r="6" spans="1:4">
      <c r="A6" s="136"/>
      <c r="B6" s="12" t="s">
        <v>388</v>
      </c>
      <c r="C6" s="8">
        <v>66144</v>
      </c>
      <c r="D6" s="9"/>
    </row>
    <row r="7" spans="1:4">
      <c r="A7" s="136"/>
      <c r="B7" s="12" t="s">
        <v>389</v>
      </c>
      <c r="C7" s="8">
        <v>19843.2</v>
      </c>
      <c r="D7" s="9"/>
    </row>
    <row r="8" spans="1:4">
      <c r="A8" s="136"/>
      <c r="B8" s="7" t="s">
        <v>390</v>
      </c>
      <c r="C8" s="8">
        <v>1160</v>
      </c>
      <c r="D8" s="9"/>
    </row>
    <row r="9" spans="1:4">
      <c r="A9" s="136"/>
      <c r="B9" s="7" t="s">
        <v>391</v>
      </c>
      <c r="C9" s="8">
        <v>27436.3</v>
      </c>
      <c r="D9" s="9" t="s">
        <v>392</v>
      </c>
    </row>
    <row r="10" spans="1:4">
      <c r="A10" s="136"/>
      <c r="B10" s="13" t="s">
        <v>393</v>
      </c>
      <c r="C10" s="8">
        <v>19475.580000000002</v>
      </c>
      <c r="D10" s="9" t="s">
        <v>394</v>
      </c>
    </row>
    <row r="11" spans="1:4">
      <c r="A11" s="136"/>
      <c r="B11" s="7" t="s">
        <v>395</v>
      </c>
      <c r="C11" s="8">
        <v>19500</v>
      </c>
      <c r="D11" s="9" t="s">
        <v>235</v>
      </c>
    </row>
    <row r="12" spans="1:4">
      <c r="A12" s="136"/>
      <c r="B12" s="14" t="s">
        <v>396</v>
      </c>
      <c r="C12" s="15">
        <v>5400</v>
      </c>
      <c r="D12" s="9"/>
    </row>
    <row r="13" spans="1:4">
      <c r="A13" s="135" t="s">
        <v>10</v>
      </c>
      <c r="B13" s="16" t="s">
        <v>397</v>
      </c>
      <c r="C13" s="17">
        <v>362520</v>
      </c>
      <c r="D13" s="9"/>
    </row>
    <row r="14" spans="1:4">
      <c r="A14" s="136"/>
      <c r="B14" s="16" t="s">
        <v>398</v>
      </c>
      <c r="C14" s="17">
        <v>131254.5</v>
      </c>
      <c r="D14" s="9"/>
    </row>
    <row r="15" spans="1:4">
      <c r="A15" s="136"/>
      <c r="B15" s="12" t="s">
        <v>399</v>
      </c>
      <c r="C15" s="17">
        <v>9450</v>
      </c>
      <c r="D15" s="9"/>
    </row>
    <row r="16" spans="1:4">
      <c r="A16" s="136"/>
      <c r="B16" s="14" t="s">
        <v>400</v>
      </c>
      <c r="C16" s="8">
        <v>79500</v>
      </c>
      <c r="D16" s="9"/>
    </row>
    <row r="17" spans="1:4">
      <c r="A17" s="136"/>
      <c r="B17" s="16" t="s">
        <v>401</v>
      </c>
      <c r="C17" s="17">
        <v>376830</v>
      </c>
      <c r="D17" s="9"/>
    </row>
    <row r="18" spans="1:4">
      <c r="A18" s="136"/>
      <c r="B18" s="7" t="s">
        <v>390</v>
      </c>
      <c r="C18" s="8">
        <v>1020</v>
      </c>
      <c r="D18" s="9"/>
    </row>
    <row r="19" spans="1:4">
      <c r="A19" s="136"/>
      <c r="B19" s="7" t="s">
        <v>402</v>
      </c>
      <c r="C19" s="8">
        <v>12136</v>
      </c>
      <c r="D19" s="9"/>
    </row>
    <row r="20" spans="1:4">
      <c r="A20" s="136"/>
      <c r="B20" s="14" t="s">
        <v>278</v>
      </c>
      <c r="C20" s="8">
        <v>27714.21</v>
      </c>
      <c r="D20" s="9"/>
    </row>
    <row r="21" spans="1:4">
      <c r="A21" s="135" t="s">
        <v>13</v>
      </c>
      <c r="B21" s="13" t="s">
        <v>403</v>
      </c>
      <c r="C21" s="8">
        <v>20970.419999999998</v>
      </c>
      <c r="D21" s="9" t="s">
        <v>394</v>
      </c>
    </row>
    <row r="22" spans="1:4">
      <c r="A22" s="136"/>
      <c r="B22" s="7" t="s">
        <v>404</v>
      </c>
      <c r="C22" s="8">
        <v>1700</v>
      </c>
      <c r="D22" s="9" t="s">
        <v>235</v>
      </c>
    </row>
    <row r="23" spans="1:4">
      <c r="A23" s="136"/>
      <c r="B23" s="12" t="s">
        <v>584</v>
      </c>
      <c r="C23" s="17">
        <v>9450</v>
      </c>
      <c r="D23" s="18"/>
    </row>
    <row r="24" spans="1:4">
      <c r="A24" s="136"/>
      <c r="B24" s="7" t="s">
        <v>405</v>
      </c>
      <c r="C24" s="8">
        <v>22352</v>
      </c>
      <c r="D24" s="9"/>
    </row>
    <row r="25" spans="1:4">
      <c r="A25" s="136"/>
      <c r="B25" s="7" t="s">
        <v>406</v>
      </c>
      <c r="C25" s="8">
        <v>4500</v>
      </c>
      <c r="D25" s="9" t="s">
        <v>235</v>
      </c>
    </row>
    <row r="26" spans="1:4">
      <c r="A26" s="136"/>
      <c r="B26" s="14" t="s">
        <v>407</v>
      </c>
      <c r="C26" s="8">
        <v>862.88</v>
      </c>
      <c r="D26" s="9"/>
    </row>
    <row r="27" spans="1:4">
      <c r="A27" s="136"/>
      <c r="B27" s="7" t="s">
        <v>408</v>
      </c>
      <c r="C27" s="8">
        <v>8999.1</v>
      </c>
      <c r="D27" s="9" t="s">
        <v>392</v>
      </c>
    </row>
    <row r="28" spans="1:4">
      <c r="A28" s="136"/>
      <c r="B28" s="14" t="s">
        <v>409</v>
      </c>
      <c r="C28" s="8">
        <v>48030.37</v>
      </c>
      <c r="D28" s="9"/>
    </row>
    <row r="29" spans="1:4">
      <c r="A29" s="135" t="s">
        <v>23</v>
      </c>
      <c r="B29" s="7" t="s">
        <v>154</v>
      </c>
      <c r="C29" s="17">
        <v>1200</v>
      </c>
      <c r="D29" s="9"/>
    </row>
    <row r="30" spans="1:4">
      <c r="A30" s="136"/>
      <c r="B30" s="7" t="s">
        <v>410</v>
      </c>
      <c r="C30" s="8">
        <v>278988.49</v>
      </c>
      <c r="D30" s="9"/>
    </row>
    <row r="31" spans="1:4">
      <c r="A31" s="136"/>
      <c r="B31" s="7" t="s">
        <v>411</v>
      </c>
      <c r="C31" s="8">
        <v>15114</v>
      </c>
      <c r="D31" s="9"/>
    </row>
    <row r="32" spans="1:4">
      <c r="A32" s="136"/>
      <c r="B32" s="12" t="s">
        <v>412</v>
      </c>
      <c r="C32" s="19">
        <v>109500</v>
      </c>
      <c r="D32" s="9"/>
    </row>
    <row r="33" spans="1:4">
      <c r="A33" s="136"/>
      <c r="B33" s="7" t="s">
        <v>413</v>
      </c>
      <c r="C33" s="8">
        <v>6879</v>
      </c>
      <c r="D33" s="9" t="s">
        <v>392</v>
      </c>
    </row>
    <row r="34" spans="1:4">
      <c r="A34" s="136"/>
      <c r="B34" s="14" t="s">
        <v>414</v>
      </c>
      <c r="C34" s="8">
        <v>49946.5</v>
      </c>
      <c r="D34" s="9"/>
    </row>
    <row r="35" spans="1:4">
      <c r="A35" s="136"/>
      <c r="B35" s="16" t="s">
        <v>415</v>
      </c>
      <c r="C35" s="17">
        <v>362520</v>
      </c>
      <c r="D35" s="9"/>
    </row>
    <row r="36" spans="1:4">
      <c r="A36" s="136"/>
      <c r="B36" s="16" t="s">
        <v>416</v>
      </c>
      <c r="C36" s="17">
        <v>131254.5</v>
      </c>
      <c r="D36" s="9"/>
    </row>
    <row r="37" spans="1:4">
      <c r="A37" s="137"/>
      <c r="B37" s="12" t="s">
        <v>417</v>
      </c>
      <c r="C37" s="17">
        <v>28800</v>
      </c>
      <c r="D37" s="9" t="s">
        <v>418</v>
      </c>
    </row>
    <row r="38" spans="1:4">
      <c r="A38" s="136" t="s">
        <v>35</v>
      </c>
      <c r="B38" s="7" t="s">
        <v>419</v>
      </c>
      <c r="C38" s="8">
        <v>1500</v>
      </c>
      <c r="D38" s="9"/>
    </row>
    <row r="39" spans="1:4">
      <c r="A39" s="136"/>
      <c r="B39" s="13" t="s">
        <v>420</v>
      </c>
      <c r="C39" s="8">
        <v>20207.22</v>
      </c>
      <c r="D39" s="9"/>
    </row>
    <row r="40" spans="1:4">
      <c r="A40" s="136"/>
      <c r="B40" s="7" t="s">
        <v>390</v>
      </c>
      <c r="C40" s="8">
        <v>3000</v>
      </c>
      <c r="D40" s="9"/>
    </row>
    <row r="41" spans="1:4">
      <c r="A41" s="136"/>
      <c r="B41" s="12" t="s">
        <v>421</v>
      </c>
      <c r="C41" s="8">
        <v>33516</v>
      </c>
      <c r="D41" s="20">
        <v>0.7</v>
      </c>
    </row>
    <row r="42" spans="1:4">
      <c r="A42" s="136"/>
      <c r="B42" s="12" t="s">
        <v>422</v>
      </c>
      <c r="C42" s="8">
        <v>53000</v>
      </c>
      <c r="D42" s="20">
        <v>0.5</v>
      </c>
    </row>
    <row r="43" spans="1:4">
      <c r="A43" s="136"/>
      <c r="B43" s="7" t="s">
        <v>423</v>
      </c>
      <c r="C43" s="8">
        <v>5139.3</v>
      </c>
      <c r="D43" s="9" t="s">
        <v>392</v>
      </c>
    </row>
    <row r="44" spans="1:4">
      <c r="A44" s="136"/>
      <c r="B44" s="7" t="s">
        <v>424</v>
      </c>
      <c r="C44" s="8">
        <v>10450</v>
      </c>
      <c r="D44" s="9" t="s">
        <v>425</v>
      </c>
    </row>
    <row r="45" spans="1:4">
      <c r="A45" s="136"/>
      <c r="B45" s="16" t="s">
        <v>426</v>
      </c>
      <c r="C45" s="17">
        <v>376830</v>
      </c>
      <c r="D45" s="9"/>
    </row>
    <row r="46" spans="1:4">
      <c r="A46" s="136"/>
      <c r="B46" s="14" t="s">
        <v>427</v>
      </c>
      <c r="C46" s="8">
        <v>2615</v>
      </c>
      <c r="D46" s="9"/>
    </row>
    <row r="47" spans="1:4">
      <c r="A47" s="139" t="s">
        <v>43</v>
      </c>
      <c r="B47" s="7" t="s">
        <v>498</v>
      </c>
      <c r="C47" s="8">
        <v>11275</v>
      </c>
      <c r="D47" s="9" t="s">
        <v>428</v>
      </c>
    </row>
    <row r="48" spans="1:4">
      <c r="A48" s="139"/>
      <c r="B48" s="14" t="s">
        <v>429</v>
      </c>
      <c r="C48" s="8">
        <v>1984</v>
      </c>
      <c r="D48" s="9"/>
    </row>
    <row r="49" spans="1:5">
      <c r="A49" s="139"/>
      <c r="B49" s="22" t="s">
        <v>430</v>
      </c>
      <c r="C49" s="17">
        <v>37500</v>
      </c>
      <c r="D49" s="9" t="s">
        <v>428</v>
      </c>
      <c r="E49" s="23"/>
    </row>
    <row r="50" spans="1:5">
      <c r="A50" s="139"/>
      <c r="B50" s="7" t="s">
        <v>282</v>
      </c>
      <c r="C50" s="8">
        <v>1512</v>
      </c>
      <c r="D50" s="9" t="s">
        <v>428</v>
      </c>
    </row>
    <row r="51" spans="1:5">
      <c r="A51" s="139"/>
      <c r="B51" s="7" t="s">
        <v>431</v>
      </c>
      <c r="C51" s="8">
        <v>600</v>
      </c>
      <c r="D51" s="9"/>
    </row>
    <row r="52" spans="1:5">
      <c r="A52" s="139"/>
      <c r="B52" s="14" t="s">
        <v>432</v>
      </c>
      <c r="C52" s="8">
        <v>39876.49</v>
      </c>
      <c r="D52" s="9"/>
    </row>
    <row r="53" spans="1:5">
      <c r="A53" s="139"/>
      <c r="B53" s="7" t="s">
        <v>265</v>
      </c>
      <c r="C53" s="8">
        <v>350</v>
      </c>
      <c r="D53" s="9"/>
    </row>
    <row r="54" spans="1:5">
      <c r="A54" s="139"/>
      <c r="B54" s="7" t="s">
        <v>433</v>
      </c>
      <c r="C54" s="8">
        <v>6406</v>
      </c>
      <c r="D54" s="9" t="s">
        <v>392</v>
      </c>
    </row>
    <row r="55" spans="1:5">
      <c r="A55" s="135" t="s">
        <v>52</v>
      </c>
      <c r="B55" s="13" t="s">
        <v>434</v>
      </c>
      <c r="C55" s="8">
        <v>20920.560000000001</v>
      </c>
      <c r="D55" s="9"/>
    </row>
    <row r="56" spans="1:5">
      <c r="A56" s="136"/>
      <c r="B56" s="7" t="s">
        <v>404</v>
      </c>
      <c r="C56" s="8">
        <v>1440</v>
      </c>
      <c r="D56" s="9" t="s">
        <v>235</v>
      </c>
    </row>
    <row r="57" spans="1:5">
      <c r="A57" s="136"/>
      <c r="B57" s="7" t="s">
        <v>435</v>
      </c>
      <c r="C57" s="8">
        <v>8807.65</v>
      </c>
      <c r="D57" s="9" t="s">
        <v>436</v>
      </c>
    </row>
    <row r="58" spans="1:5">
      <c r="A58" s="136"/>
      <c r="B58" s="16" t="s">
        <v>437</v>
      </c>
      <c r="C58" s="17">
        <v>362520</v>
      </c>
      <c r="D58" s="9"/>
    </row>
    <row r="59" spans="1:5">
      <c r="A59" s="136"/>
      <c r="B59" s="7" t="s">
        <v>438</v>
      </c>
      <c r="C59" s="8">
        <v>720</v>
      </c>
      <c r="D59" s="9" t="s">
        <v>439</v>
      </c>
    </row>
    <row r="60" spans="1:5">
      <c r="A60" s="136"/>
      <c r="B60" s="7" t="s">
        <v>440</v>
      </c>
      <c r="C60" s="8">
        <v>6307</v>
      </c>
      <c r="D60" s="9" t="s">
        <v>392</v>
      </c>
    </row>
    <row r="61" spans="1:5">
      <c r="A61" s="136"/>
      <c r="B61" s="7" t="s">
        <v>371</v>
      </c>
      <c r="C61" s="8">
        <v>390</v>
      </c>
      <c r="D61" s="9" t="s">
        <v>441</v>
      </c>
    </row>
    <row r="62" spans="1:5">
      <c r="A62" s="136"/>
      <c r="B62" s="7" t="s">
        <v>442</v>
      </c>
      <c r="C62" s="8">
        <v>1800</v>
      </c>
      <c r="D62" s="9"/>
    </row>
    <row r="63" spans="1:5">
      <c r="A63" s="136"/>
      <c r="B63" s="7" t="s">
        <v>443</v>
      </c>
      <c r="C63" s="8">
        <v>6000</v>
      </c>
      <c r="D63" s="9" t="s">
        <v>444</v>
      </c>
    </row>
    <row r="64" spans="1:5">
      <c r="A64" s="136"/>
      <c r="B64" s="24" t="s">
        <v>445</v>
      </c>
      <c r="C64" s="8">
        <v>17876</v>
      </c>
      <c r="D64" s="9" t="s">
        <v>446</v>
      </c>
    </row>
    <row r="65" spans="1:4">
      <c r="A65" s="139" t="s">
        <v>63</v>
      </c>
      <c r="B65" s="16" t="s">
        <v>523</v>
      </c>
      <c r="C65" s="17">
        <v>131254.5</v>
      </c>
      <c r="D65" s="9"/>
    </row>
    <row r="66" spans="1:4">
      <c r="A66" s="139"/>
      <c r="B66" s="7" t="s">
        <v>385</v>
      </c>
      <c r="C66" s="8">
        <v>55559</v>
      </c>
      <c r="D66" s="9" t="s">
        <v>428</v>
      </c>
    </row>
    <row r="67" spans="1:4">
      <c r="A67" s="139"/>
      <c r="B67" s="7" t="s">
        <v>447</v>
      </c>
      <c r="C67" s="8">
        <v>1329</v>
      </c>
      <c r="D67" s="9" t="s">
        <v>448</v>
      </c>
    </row>
    <row r="68" spans="1:4">
      <c r="A68" s="139"/>
      <c r="B68" s="7" t="s">
        <v>449</v>
      </c>
      <c r="C68" s="8">
        <v>450</v>
      </c>
      <c r="D68" s="9" t="s">
        <v>235</v>
      </c>
    </row>
    <row r="69" spans="1:4">
      <c r="A69" s="139"/>
      <c r="B69" s="25" t="s">
        <v>450</v>
      </c>
      <c r="C69" s="8">
        <v>380</v>
      </c>
      <c r="D69" s="9"/>
    </row>
    <row r="70" spans="1:4">
      <c r="A70" s="139"/>
      <c r="B70" s="22" t="s">
        <v>451</v>
      </c>
      <c r="C70" s="8">
        <v>14364</v>
      </c>
      <c r="D70" s="20" t="s">
        <v>452</v>
      </c>
    </row>
    <row r="71" spans="1:4">
      <c r="A71" s="139"/>
      <c r="B71" s="7" t="s">
        <v>457</v>
      </c>
      <c r="C71" s="8">
        <v>7808</v>
      </c>
      <c r="D71" s="9" t="s">
        <v>392</v>
      </c>
    </row>
    <row r="72" spans="1:4">
      <c r="A72" s="139"/>
      <c r="B72" s="22" t="s">
        <v>453</v>
      </c>
      <c r="C72" s="17">
        <v>47910</v>
      </c>
      <c r="D72" s="9"/>
    </row>
    <row r="73" spans="1:4">
      <c r="A73" s="139"/>
      <c r="B73" s="14" t="s">
        <v>522</v>
      </c>
      <c r="C73" s="8">
        <v>36935.96</v>
      </c>
      <c r="D73" s="9"/>
    </row>
    <row r="74" spans="1:4">
      <c r="A74" s="139"/>
      <c r="B74" s="7" t="s">
        <v>454</v>
      </c>
      <c r="C74" s="8">
        <v>7700</v>
      </c>
      <c r="D74" s="9"/>
    </row>
    <row r="75" spans="1:4">
      <c r="A75" s="136" t="s">
        <v>75</v>
      </c>
      <c r="B75" s="13" t="s">
        <v>455</v>
      </c>
      <c r="C75" s="17">
        <v>23412.32</v>
      </c>
      <c r="D75" s="9"/>
    </row>
    <row r="76" spans="1:4">
      <c r="A76" s="136"/>
      <c r="B76" s="16" t="s">
        <v>456</v>
      </c>
      <c r="C76" s="17">
        <v>376830</v>
      </c>
      <c r="D76" s="9"/>
    </row>
    <row r="77" spans="1:4">
      <c r="A77" s="136"/>
      <c r="B77" s="7" t="s">
        <v>458</v>
      </c>
      <c r="C77" s="8">
        <v>6227.5</v>
      </c>
      <c r="D77" s="9" t="s">
        <v>392</v>
      </c>
    </row>
    <row r="78" spans="1:4">
      <c r="A78" s="136"/>
      <c r="B78" s="14" t="s">
        <v>459</v>
      </c>
      <c r="C78" s="8">
        <v>2000</v>
      </c>
      <c r="D78" s="9"/>
    </row>
    <row r="79" spans="1:4">
      <c r="A79" s="136"/>
      <c r="B79" s="7" t="s">
        <v>460</v>
      </c>
      <c r="C79" s="8">
        <v>300</v>
      </c>
      <c r="D79" s="9"/>
    </row>
    <row r="80" spans="1:4">
      <c r="A80" s="136"/>
      <c r="B80" s="12" t="s">
        <v>461</v>
      </c>
      <c r="C80" s="8">
        <v>106650</v>
      </c>
      <c r="D80" s="9"/>
    </row>
    <row r="81" spans="1:4">
      <c r="A81" s="136"/>
      <c r="B81" s="7" t="s">
        <v>462</v>
      </c>
      <c r="C81" s="8">
        <v>46416.86</v>
      </c>
      <c r="D81" s="9"/>
    </row>
    <row r="82" spans="1:4">
      <c r="A82" s="136"/>
      <c r="B82" s="7" t="s">
        <v>463</v>
      </c>
      <c r="C82" s="26">
        <v>6337</v>
      </c>
      <c r="D82" s="9"/>
    </row>
    <row r="83" spans="1:4">
      <c r="A83" s="139" t="s">
        <v>97</v>
      </c>
      <c r="B83" s="35" t="s">
        <v>464</v>
      </c>
      <c r="C83" s="17">
        <v>15900</v>
      </c>
      <c r="D83" s="9"/>
    </row>
    <row r="84" spans="1:4">
      <c r="A84" s="139"/>
      <c r="B84" s="24" t="s">
        <v>467</v>
      </c>
      <c r="C84" s="8">
        <v>8855</v>
      </c>
      <c r="D84" s="66" t="s">
        <v>487</v>
      </c>
    </row>
    <row r="85" spans="1:4">
      <c r="A85" s="139"/>
      <c r="B85" s="7" t="s">
        <v>465</v>
      </c>
      <c r="C85" s="8">
        <v>1490</v>
      </c>
      <c r="D85" s="9" t="s">
        <v>466</v>
      </c>
    </row>
    <row r="86" spans="1:4">
      <c r="A86" s="139"/>
      <c r="B86" s="7" t="s">
        <v>469</v>
      </c>
      <c r="C86" s="8">
        <v>7316</v>
      </c>
      <c r="D86" s="9"/>
    </row>
    <row r="87" spans="1:4">
      <c r="A87" s="139"/>
      <c r="B87" s="16" t="s">
        <v>468</v>
      </c>
      <c r="C87" s="17">
        <v>362520</v>
      </c>
      <c r="D87" s="9"/>
    </row>
    <row r="88" spans="1:4">
      <c r="A88" s="139"/>
      <c r="B88" s="12" t="s">
        <v>471</v>
      </c>
      <c r="C88" s="17">
        <v>28800</v>
      </c>
      <c r="D88" s="9" t="s">
        <v>470</v>
      </c>
    </row>
    <row r="89" spans="1:4">
      <c r="A89" s="139"/>
      <c r="B89" s="7" t="s">
        <v>472</v>
      </c>
      <c r="C89" s="8">
        <v>2980</v>
      </c>
      <c r="D89" s="9"/>
    </row>
    <row r="90" spans="1:4">
      <c r="A90" s="139"/>
      <c r="B90" s="7" t="s">
        <v>473</v>
      </c>
      <c r="C90" s="8">
        <v>12254.6</v>
      </c>
      <c r="D90" s="9" t="s">
        <v>392</v>
      </c>
    </row>
    <row r="91" spans="1:4">
      <c r="A91" s="139"/>
      <c r="B91" s="62" t="s">
        <v>474</v>
      </c>
      <c r="C91" s="17">
        <v>131254.5</v>
      </c>
      <c r="D91" s="9"/>
    </row>
    <row r="92" spans="1:4">
      <c r="A92" s="136" t="s">
        <v>209</v>
      </c>
      <c r="B92" s="7" t="s">
        <v>475</v>
      </c>
      <c r="C92" s="8">
        <v>1700</v>
      </c>
      <c r="D92" s="9" t="s">
        <v>476</v>
      </c>
    </row>
    <row r="93" spans="1:4">
      <c r="A93" s="136"/>
      <c r="B93" s="63" t="s">
        <v>477</v>
      </c>
      <c r="C93" s="8">
        <v>2065</v>
      </c>
      <c r="D93" s="66" t="s">
        <v>483</v>
      </c>
    </row>
    <row r="94" spans="1:4">
      <c r="A94" s="136"/>
      <c r="B94" s="63" t="s">
        <v>478</v>
      </c>
      <c r="C94" s="8">
        <v>3790</v>
      </c>
      <c r="D94" s="9"/>
    </row>
    <row r="95" spans="1:4">
      <c r="A95" s="136"/>
      <c r="B95" s="64" t="s">
        <v>479</v>
      </c>
      <c r="C95" s="8">
        <v>23144.68</v>
      </c>
      <c r="D95" s="9"/>
    </row>
    <row r="96" spans="1:4">
      <c r="A96" s="136"/>
      <c r="B96" s="63" t="s">
        <v>481</v>
      </c>
      <c r="C96" s="42">
        <v>5000</v>
      </c>
      <c r="D96" s="66" t="s">
        <v>480</v>
      </c>
    </row>
    <row r="97" spans="1:4">
      <c r="A97" s="136"/>
      <c r="B97" s="63" t="s">
        <v>482</v>
      </c>
      <c r="C97" s="8">
        <v>4955</v>
      </c>
      <c r="D97" s="66" t="s">
        <v>480</v>
      </c>
    </row>
    <row r="98" spans="1:4">
      <c r="A98" s="136"/>
      <c r="B98" s="63" t="s">
        <v>485</v>
      </c>
      <c r="C98" s="8">
        <v>2000</v>
      </c>
      <c r="D98" s="66" t="s">
        <v>484</v>
      </c>
    </row>
    <row r="99" spans="1:4">
      <c r="A99" s="136"/>
      <c r="B99" s="63" t="s">
        <v>486</v>
      </c>
      <c r="C99" s="8">
        <v>8800</v>
      </c>
      <c r="D99" s="9"/>
    </row>
    <row r="100" spans="1:4">
      <c r="A100" s="136"/>
      <c r="B100" s="63" t="s">
        <v>489</v>
      </c>
      <c r="C100" s="8">
        <v>13520</v>
      </c>
      <c r="D100" s="66" t="s">
        <v>488</v>
      </c>
    </row>
    <row r="101" spans="1:4">
      <c r="A101" s="136"/>
      <c r="B101" s="63" t="s">
        <v>490</v>
      </c>
      <c r="C101" s="8">
        <v>1200</v>
      </c>
      <c r="D101" s="66" t="s">
        <v>484</v>
      </c>
    </row>
    <row r="102" spans="1:4">
      <c r="A102" s="136"/>
      <c r="B102" s="62" t="s">
        <v>491</v>
      </c>
      <c r="C102" s="17">
        <v>376830</v>
      </c>
      <c r="D102" s="9"/>
    </row>
    <row r="103" spans="1:4">
      <c r="A103" s="136"/>
      <c r="B103" s="7" t="s">
        <v>494</v>
      </c>
      <c r="C103" s="8">
        <v>10923</v>
      </c>
      <c r="D103" s="9" t="s">
        <v>392</v>
      </c>
    </row>
    <row r="104" spans="1:4">
      <c r="A104" s="136"/>
      <c r="B104" s="7" t="s">
        <v>493</v>
      </c>
      <c r="C104" s="17">
        <v>1300</v>
      </c>
      <c r="D104" s="9" t="s">
        <v>492</v>
      </c>
    </row>
    <row r="105" spans="1:4">
      <c r="A105" s="136"/>
      <c r="B105" s="64" t="s">
        <v>495</v>
      </c>
      <c r="C105" s="17">
        <v>1220</v>
      </c>
      <c r="D105" s="66"/>
    </row>
    <row r="106" spans="1:4">
      <c r="A106" s="136"/>
      <c r="B106" s="13" t="s">
        <v>496</v>
      </c>
      <c r="C106" s="8">
        <v>22622.18</v>
      </c>
      <c r="D106" s="9"/>
    </row>
    <row r="107" spans="1:4">
      <c r="A107" s="135" t="s">
        <v>112</v>
      </c>
      <c r="B107" s="7" t="s">
        <v>497</v>
      </c>
      <c r="C107" s="8">
        <v>15900</v>
      </c>
      <c r="D107" s="9"/>
    </row>
    <row r="108" spans="1:4">
      <c r="A108" s="136"/>
      <c r="B108" s="7" t="s">
        <v>499</v>
      </c>
      <c r="C108" s="8">
        <v>39407</v>
      </c>
      <c r="D108" s="66" t="s">
        <v>484</v>
      </c>
    </row>
    <row r="109" spans="1:4">
      <c r="A109" s="136"/>
      <c r="B109" s="67" t="s">
        <v>500</v>
      </c>
      <c r="C109" s="8">
        <v>27200</v>
      </c>
      <c r="D109" s="66" t="s">
        <v>484</v>
      </c>
    </row>
    <row r="110" spans="1:4">
      <c r="A110" s="136"/>
      <c r="B110" s="7" t="s">
        <v>501</v>
      </c>
      <c r="C110" s="8">
        <v>1800</v>
      </c>
      <c r="D110" s="66" t="s">
        <v>484</v>
      </c>
    </row>
    <row r="111" spans="1:4">
      <c r="A111" s="136"/>
      <c r="B111" s="7" t="s">
        <v>509</v>
      </c>
      <c r="C111" s="8">
        <v>4097.8</v>
      </c>
      <c r="D111" s="9"/>
    </row>
    <row r="112" spans="1:4">
      <c r="A112" s="136"/>
      <c r="B112" s="11" t="s">
        <v>307</v>
      </c>
      <c r="C112" s="8">
        <v>49718.12</v>
      </c>
      <c r="D112" s="9"/>
    </row>
    <row r="113" spans="1:5">
      <c r="A113" s="136"/>
      <c r="B113" s="7" t="s">
        <v>406</v>
      </c>
      <c r="C113" s="8">
        <v>13582</v>
      </c>
      <c r="D113" s="66" t="s">
        <v>235</v>
      </c>
    </row>
    <row r="114" spans="1:5">
      <c r="A114" s="136"/>
      <c r="B114" s="12" t="s">
        <v>502</v>
      </c>
      <c r="C114" s="17">
        <v>5500</v>
      </c>
      <c r="D114" s="66" t="s">
        <v>504</v>
      </c>
    </row>
    <row r="115" spans="1:5">
      <c r="A115" s="136"/>
      <c r="B115" s="12" t="s">
        <v>503</v>
      </c>
      <c r="C115" s="17">
        <v>5500</v>
      </c>
      <c r="D115" s="66" t="s">
        <v>235</v>
      </c>
    </row>
    <row r="116" spans="1:5">
      <c r="A116" s="136"/>
      <c r="B116" s="12" t="s">
        <v>351</v>
      </c>
      <c r="C116" s="17">
        <v>5500</v>
      </c>
      <c r="D116" s="66" t="s">
        <v>235</v>
      </c>
      <c r="E116" s="23"/>
    </row>
    <row r="117" spans="1:5">
      <c r="A117" s="136"/>
      <c r="B117" s="7" t="s">
        <v>505</v>
      </c>
      <c r="C117" s="8">
        <v>110631.36</v>
      </c>
      <c r="D117" s="33"/>
      <c r="E117" s="23"/>
    </row>
    <row r="118" spans="1:5">
      <c r="A118" s="136"/>
      <c r="B118" s="68" t="s">
        <v>506</v>
      </c>
      <c r="C118" s="17">
        <v>47910</v>
      </c>
      <c r="D118" s="33"/>
      <c r="E118" s="23"/>
    </row>
    <row r="119" spans="1:5">
      <c r="A119" s="136"/>
      <c r="B119" s="12" t="s">
        <v>507</v>
      </c>
      <c r="C119" s="8">
        <v>53000</v>
      </c>
      <c r="D119" s="20" t="s">
        <v>508</v>
      </c>
      <c r="E119" s="23"/>
    </row>
    <row r="120" spans="1:5">
      <c r="A120" s="136"/>
      <c r="B120" s="7"/>
      <c r="C120" s="8"/>
      <c r="D120" s="33"/>
      <c r="E120" s="23"/>
    </row>
    <row r="121" spans="1:5">
      <c r="A121" s="136"/>
      <c r="B121" s="7"/>
      <c r="C121" s="8"/>
      <c r="D121" s="9"/>
    </row>
    <row r="122" spans="1:5">
      <c r="A122" s="21" t="s">
        <v>129</v>
      </c>
      <c r="B122" s="27"/>
      <c r="C122" s="17"/>
      <c r="D122" s="6"/>
    </row>
  </sheetData>
  <mergeCells count="13">
    <mergeCell ref="A107:A121"/>
    <mergeCell ref="A47:A54"/>
    <mergeCell ref="A55:A64"/>
    <mergeCell ref="A65:A74"/>
    <mergeCell ref="A75:A82"/>
    <mergeCell ref="A83:A91"/>
    <mergeCell ref="A92:A106"/>
    <mergeCell ref="A1:C1"/>
    <mergeCell ref="A3:A12"/>
    <mergeCell ref="A13:A20"/>
    <mergeCell ref="A21:A28"/>
    <mergeCell ref="A29:A37"/>
    <mergeCell ref="A38:A46"/>
  </mergeCells>
  <phoneticPr fontId="4" type="noConversion"/>
  <conditionalFormatting sqref="C3 C92">
    <cfRule type="cellIs" dxfId="466" priority="72" operator="equal">
      <formula>5000</formula>
    </cfRule>
    <cfRule type="cellIs" dxfId="465" priority="73" operator="equal">
      <formula>5000</formula>
    </cfRule>
  </conditionalFormatting>
  <conditionalFormatting sqref="C13">
    <cfRule type="cellIs" dxfId="464" priority="70" operator="equal">
      <formula>5000</formula>
    </cfRule>
    <cfRule type="cellIs" dxfId="463" priority="71" operator="equal">
      <formula>5000</formula>
    </cfRule>
  </conditionalFormatting>
  <conditionalFormatting sqref="C14">
    <cfRule type="cellIs" dxfId="462" priority="68" operator="equal">
      <formula>5000</formula>
    </cfRule>
    <cfRule type="cellIs" dxfId="461" priority="69" operator="equal">
      <formula>5000</formula>
    </cfRule>
  </conditionalFormatting>
  <conditionalFormatting sqref="C15">
    <cfRule type="cellIs" dxfId="460" priority="66" operator="equal">
      <formula>5000</formula>
    </cfRule>
    <cfRule type="cellIs" dxfId="459" priority="67" operator="equal">
      <formula>5000</formula>
    </cfRule>
  </conditionalFormatting>
  <conditionalFormatting sqref="C17">
    <cfRule type="cellIs" dxfId="458" priority="64" operator="equal">
      <formula>5000</formula>
    </cfRule>
    <cfRule type="cellIs" dxfId="457" priority="65" operator="equal">
      <formula>5000</formula>
    </cfRule>
  </conditionalFormatting>
  <conditionalFormatting sqref="C23">
    <cfRule type="cellIs" dxfId="456" priority="62" operator="equal">
      <formula>5000</formula>
    </cfRule>
    <cfRule type="cellIs" dxfId="455" priority="63" operator="equal">
      <formula>5000</formula>
    </cfRule>
  </conditionalFormatting>
  <conditionalFormatting sqref="C29">
    <cfRule type="cellIs" dxfId="454" priority="60" operator="equal">
      <formula>5000</formula>
    </cfRule>
    <cfRule type="cellIs" dxfId="453" priority="61" operator="equal">
      <formula>5000</formula>
    </cfRule>
  </conditionalFormatting>
  <conditionalFormatting sqref="C32">
    <cfRule type="cellIs" dxfId="452" priority="58" operator="equal">
      <formula>5000</formula>
    </cfRule>
    <cfRule type="cellIs" dxfId="451" priority="59" operator="equal">
      <formula>5000</formula>
    </cfRule>
  </conditionalFormatting>
  <conditionalFormatting sqref="C33">
    <cfRule type="cellIs" dxfId="450" priority="56" operator="equal">
      <formula>5000</formula>
    </cfRule>
    <cfRule type="cellIs" dxfId="449" priority="57" operator="equal">
      <formula>5000</formula>
    </cfRule>
  </conditionalFormatting>
  <conditionalFormatting sqref="C35">
    <cfRule type="cellIs" dxfId="448" priority="54" operator="equal">
      <formula>5000</formula>
    </cfRule>
    <cfRule type="cellIs" dxfId="447" priority="55" operator="equal">
      <formula>5000</formula>
    </cfRule>
  </conditionalFormatting>
  <conditionalFormatting sqref="C36">
    <cfRule type="cellIs" dxfId="446" priority="52" operator="equal">
      <formula>5000</formula>
    </cfRule>
    <cfRule type="cellIs" dxfId="445" priority="53" operator="equal">
      <formula>5000</formula>
    </cfRule>
  </conditionalFormatting>
  <conditionalFormatting sqref="C37">
    <cfRule type="cellIs" dxfId="444" priority="50" operator="equal">
      <formula>5000</formula>
    </cfRule>
    <cfRule type="cellIs" dxfId="443" priority="51" operator="equal">
      <formula>5000</formula>
    </cfRule>
  </conditionalFormatting>
  <conditionalFormatting sqref="C45">
    <cfRule type="cellIs" dxfId="442" priority="48" operator="equal">
      <formula>5000</formula>
    </cfRule>
    <cfRule type="cellIs" dxfId="441" priority="49" operator="equal">
      <formula>5000</formula>
    </cfRule>
  </conditionalFormatting>
  <conditionalFormatting sqref="C49">
    <cfRule type="cellIs" dxfId="440" priority="46" operator="equal">
      <formula>5000</formula>
    </cfRule>
    <cfRule type="cellIs" dxfId="439" priority="47" operator="equal">
      <formula>5000</formula>
    </cfRule>
  </conditionalFormatting>
  <conditionalFormatting sqref="C54">
    <cfRule type="cellIs" dxfId="438" priority="44" operator="equal">
      <formula>5000</formula>
    </cfRule>
    <cfRule type="cellIs" dxfId="437" priority="45" operator="equal">
      <formula>5000</formula>
    </cfRule>
  </conditionalFormatting>
  <conditionalFormatting sqref="C58">
    <cfRule type="cellIs" dxfId="436" priority="42" operator="equal">
      <formula>5000</formula>
    </cfRule>
    <cfRule type="cellIs" dxfId="435" priority="43" operator="equal">
      <formula>5000</formula>
    </cfRule>
  </conditionalFormatting>
  <conditionalFormatting sqref="C65">
    <cfRule type="cellIs" dxfId="434" priority="40" operator="equal">
      <formula>5000</formula>
    </cfRule>
    <cfRule type="cellIs" dxfId="433" priority="41" operator="equal">
      <formula>5000</formula>
    </cfRule>
  </conditionalFormatting>
  <conditionalFormatting sqref="C71">
    <cfRule type="cellIs" dxfId="432" priority="38" operator="equal">
      <formula>5000</formula>
    </cfRule>
    <cfRule type="cellIs" dxfId="431" priority="39" operator="equal">
      <formula>5000</formula>
    </cfRule>
  </conditionalFormatting>
  <conditionalFormatting sqref="C72">
    <cfRule type="cellIs" dxfId="430" priority="36" operator="equal">
      <formula>5000</formula>
    </cfRule>
    <cfRule type="cellIs" dxfId="429" priority="37" operator="equal">
      <formula>5000</formula>
    </cfRule>
  </conditionalFormatting>
  <conditionalFormatting sqref="C73">
    <cfRule type="cellIs" dxfId="428" priority="105" operator="equal">
      <formula>5000</formula>
    </cfRule>
    <cfRule type="cellIs" dxfId="427" priority="106" operator="equal">
      <formula>5000</formula>
    </cfRule>
  </conditionalFormatting>
  <conditionalFormatting sqref="C75">
    <cfRule type="cellIs" dxfId="426" priority="32" operator="equal">
      <formula>5000</formula>
    </cfRule>
    <cfRule type="cellIs" dxfId="425" priority="33" operator="equal">
      <formula>5000</formula>
    </cfRule>
  </conditionalFormatting>
  <conditionalFormatting sqref="C76">
    <cfRule type="cellIs" dxfId="424" priority="30" operator="equal">
      <formula>5000</formula>
    </cfRule>
    <cfRule type="cellIs" dxfId="423" priority="31" operator="equal">
      <formula>5000</formula>
    </cfRule>
  </conditionalFormatting>
  <conditionalFormatting sqref="C93 C101">
    <cfRule type="cellIs" dxfId="422" priority="91" operator="equal">
      <formula>5000</formula>
    </cfRule>
    <cfRule type="cellIs" dxfId="421" priority="92" operator="equal">
      <formula>5000</formula>
    </cfRule>
  </conditionalFormatting>
  <conditionalFormatting sqref="C84">
    <cfRule type="cellIs" dxfId="420" priority="95" operator="equal">
      <formula>5000</formula>
    </cfRule>
    <cfRule type="cellIs" dxfId="419" priority="96" operator="equal">
      <formula>5000</formula>
    </cfRule>
  </conditionalFormatting>
  <conditionalFormatting sqref="C97 C100">
    <cfRule type="cellIs" dxfId="418" priority="89" operator="equal">
      <formula>5000</formula>
    </cfRule>
    <cfRule type="cellIs" dxfId="417" priority="90" operator="equal">
      <formula>5000</formula>
    </cfRule>
  </conditionalFormatting>
  <conditionalFormatting sqref="C98">
    <cfRule type="cellIs" dxfId="416" priority="84" operator="equal">
      <formula>5000</formula>
    </cfRule>
    <cfRule type="cellIs" dxfId="415" priority="85" operator="equal">
      <formula>5000</formula>
    </cfRule>
  </conditionalFormatting>
  <conditionalFormatting sqref="C99">
    <cfRule type="cellIs" dxfId="414" priority="82" operator="equal">
      <formula>5000</formula>
    </cfRule>
    <cfRule type="cellIs" dxfId="413" priority="83" operator="equal">
      <formula>5000</formula>
    </cfRule>
  </conditionalFormatting>
  <conditionalFormatting sqref="C109">
    <cfRule type="cellIs" dxfId="412" priority="78" operator="equal">
      <formula>5000</formula>
    </cfRule>
    <cfRule type="cellIs" dxfId="411" priority="79" operator="equal">
      <formula>5000</formula>
    </cfRule>
  </conditionalFormatting>
  <conditionalFormatting sqref="C112">
    <cfRule type="cellIs" dxfId="410" priority="76" operator="equal">
      <formula>5000</formula>
    </cfRule>
    <cfRule type="cellIs" dxfId="409" priority="77" operator="equal">
      <formula>5000</formula>
    </cfRule>
  </conditionalFormatting>
  <conditionalFormatting sqref="C77:C79">
    <cfRule type="cellIs" dxfId="408" priority="103" operator="equal">
      <formula>5000</formula>
    </cfRule>
    <cfRule type="cellIs" dxfId="407" priority="104" operator="equal">
      <formula>5000</formula>
    </cfRule>
  </conditionalFormatting>
  <conditionalFormatting sqref="C95">
    <cfRule type="cellIs" dxfId="406" priority="87" operator="equal">
      <formula>5000</formula>
    </cfRule>
    <cfRule type="cellIs" dxfId="405" priority="88" operator="equal">
      <formula>5000</formula>
    </cfRule>
  </conditionalFormatting>
  <conditionalFormatting sqref="C107:C108">
    <cfRule type="cellIs" dxfId="404" priority="80" operator="equal">
      <formula>5000</formula>
    </cfRule>
    <cfRule type="cellIs" dxfId="403" priority="81" operator="equal">
      <formula>5000</formula>
    </cfRule>
  </conditionalFormatting>
  <conditionalFormatting sqref="C4:C11 C1:C2 C16 C18:C22 C24:C28 C30:C31 C34 C38:C44 C46:C48 C50:C53 C55:C57 C59:C64 C66:C70 C74 C85:C86 C121:C65536 C106 C80:C82 C110:C111 C89">
    <cfRule type="cellIs" dxfId="402" priority="111" operator="equal">
      <formula>5000</formula>
    </cfRule>
    <cfRule type="cellIs" dxfId="401" priority="112" operator="equal">
      <formula>5000</formula>
    </cfRule>
  </conditionalFormatting>
  <conditionalFormatting sqref="C83">
    <cfRule type="cellIs" dxfId="400" priority="28" operator="equal">
      <formula>5000</formula>
    </cfRule>
    <cfRule type="cellIs" dxfId="399" priority="29" operator="equal">
      <formula>5000</formula>
    </cfRule>
  </conditionalFormatting>
  <conditionalFormatting sqref="C87">
    <cfRule type="cellIs" dxfId="398" priority="26" operator="equal">
      <formula>5000</formula>
    </cfRule>
    <cfRule type="cellIs" dxfId="397" priority="27" operator="equal">
      <formula>5000</formula>
    </cfRule>
  </conditionalFormatting>
  <conditionalFormatting sqref="C88">
    <cfRule type="cellIs" dxfId="396" priority="24" operator="equal">
      <formula>5000</formula>
    </cfRule>
    <cfRule type="cellIs" dxfId="395" priority="25" operator="equal">
      <formula>5000</formula>
    </cfRule>
  </conditionalFormatting>
  <conditionalFormatting sqref="C90">
    <cfRule type="cellIs" dxfId="394" priority="22" operator="equal">
      <formula>5000</formula>
    </cfRule>
    <cfRule type="cellIs" dxfId="393" priority="23" operator="equal">
      <formula>5000</formula>
    </cfRule>
  </conditionalFormatting>
  <conditionalFormatting sqref="C91">
    <cfRule type="cellIs" dxfId="392" priority="20" operator="equal">
      <formula>5000</formula>
    </cfRule>
    <cfRule type="cellIs" dxfId="391" priority="21" operator="equal">
      <formula>5000</formula>
    </cfRule>
  </conditionalFormatting>
  <conditionalFormatting sqref="B96">
    <cfRule type="containsText" dxfId="390" priority="19" operator="containsText" text="昌地">
      <formula>NOT(ISERROR(SEARCH("昌地",B96)))</formula>
    </cfRule>
  </conditionalFormatting>
  <conditionalFormatting sqref="C102 C104:C105">
    <cfRule type="cellIs" dxfId="389" priority="17" operator="equal">
      <formula>5000</formula>
    </cfRule>
    <cfRule type="cellIs" dxfId="388" priority="18" operator="equal">
      <formula>5000</formula>
    </cfRule>
  </conditionalFormatting>
  <conditionalFormatting sqref="C103">
    <cfRule type="cellIs" dxfId="387" priority="15" operator="equal">
      <formula>5000</formula>
    </cfRule>
    <cfRule type="cellIs" dxfId="386" priority="16" operator="equal">
      <formula>5000</formula>
    </cfRule>
  </conditionalFormatting>
  <conditionalFormatting sqref="C113">
    <cfRule type="cellIs" dxfId="385" priority="13" operator="equal">
      <formula>5000</formula>
    </cfRule>
    <cfRule type="cellIs" dxfId="384" priority="14" operator="equal">
      <formula>5000</formula>
    </cfRule>
  </conditionalFormatting>
  <conditionalFormatting sqref="C116">
    <cfRule type="cellIs" dxfId="383" priority="11" operator="equal">
      <formula>5000</formula>
    </cfRule>
    <cfRule type="cellIs" dxfId="382" priority="12" operator="equal">
      <formula>5000</formula>
    </cfRule>
  </conditionalFormatting>
  <conditionalFormatting sqref="C117 C120">
    <cfRule type="cellIs" dxfId="381" priority="9" operator="equal">
      <formula>5000</formula>
    </cfRule>
    <cfRule type="cellIs" dxfId="380" priority="10" operator="equal">
      <formula>5000</formula>
    </cfRule>
  </conditionalFormatting>
  <conditionalFormatting sqref="C114">
    <cfRule type="cellIs" dxfId="379" priority="7" operator="equal">
      <formula>5000</formula>
    </cfRule>
    <cfRule type="cellIs" dxfId="378" priority="8" operator="equal">
      <formula>5000</formula>
    </cfRule>
  </conditionalFormatting>
  <conditionalFormatting sqref="C115">
    <cfRule type="cellIs" dxfId="377" priority="5" operator="equal">
      <formula>5000</formula>
    </cfRule>
    <cfRule type="cellIs" dxfId="376" priority="6" operator="equal">
      <formula>5000</formula>
    </cfRule>
  </conditionalFormatting>
  <conditionalFormatting sqref="C118">
    <cfRule type="cellIs" dxfId="375" priority="3" operator="equal">
      <formula>5000</formula>
    </cfRule>
    <cfRule type="cellIs" dxfId="374" priority="4" operator="equal">
      <formula>5000</formula>
    </cfRule>
  </conditionalFormatting>
  <conditionalFormatting sqref="C119">
    <cfRule type="cellIs" dxfId="373" priority="1" operator="equal">
      <formula>5000</formula>
    </cfRule>
    <cfRule type="cellIs" dxfId="372" priority="2" operator="equal">
      <formula>5000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opLeftCell="A43" workbookViewId="0">
      <selection activeCell="C12" sqref="C12"/>
    </sheetView>
  </sheetViews>
  <sheetFormatPr defaultRowHeight="13.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16384" width="9" style="1"/>
  </cols>
  <sheetData>
    <row r="1" spans="1:5">
      <c r="A1" s="134" t="s">
        <v>529</v>
      </c>
      <c r="B1" s="134"/>
      <c r="C1" s="134"/>
    </row>
    <row r="2" spans="1:5">
      <c r="A2" s="4" t="s">
        <v>1</v>
      </c>
      <c r="B2" s="4" t="s">
        <v>2</v>
      </c>
      <c r="C2" s="5" t="s">
        <v>3</v>
      </c>
      <c r="D2" s="6"/>
    </row>
    <row r="3" spans="1:5">
      <c r="A3" s="135" t="s">
        <v>5</v>
      </c>
      <c r="B3" s="12" t="s">
        <v>512</v>
      </c>
      <c r="C3" s="17">
        <v>9450</v>
      </c>
      <c r="D3" s="66"/>
    </row>
    <row r="4" spans="1:5">
      <c r="A4" s="136"/>
      <c r="B4" s="11" t="s">
        <v>510</v>
      </c>
      <c r="C4" s="8">
        <v>3000</v>
      </c>
      <c r="D4" s="75" t="s">
        <v>526</v>
      </c>
    </row>
    <row r="5" spans="1:5">
      <c r="A5" s="136"/>
      <c r="B5" s="68" t="s">
        <v>511</v>
      </c>
      <c r="C5" s="17">
        <v>37900</v>
      </c>
      <c r="D5" s="75" t="s">
        <v>536</v>
      </c>
    </row>
    <row r="6" spans="1:5">
      <c r="A6" s="136"/>
      <c r="B6" s="64" t="s">
        <v>513</v>
      </c>
      <c r="C6" s="8">
        <v>152169.01999999999</v>
      </c>
      <c r="D6" s="75"/>
      <c r="E6" s="71"/>
    </row>
    <row r="7" spans="1:5">
      <c r="A7" s="136"/>
      <c r="B7" s="64" t="s">
        <v>514</v>
      </c>
      <c r="C7" s="8">
        <v>1000</v>
      </c>
      <c r="D7" s="75" t="s">
        <v>515</v>
      </c>
      <c r="E7" s="71"/>
    </row>
    <row r="8" spans="1:5">
      <c r="A8" s="136"/>
      <c r="B8" s="16" t="s">
        <v>516</v>
      </c>
      <c r="C8" s="17">
        <v>362520</v>
      </c>
      <c r="D8" s="75"/>
    </row>
    <row r="9" spans="1:5">
      <c r="A9" s="136"/>
      <c r="B9" s="7" t="s">
        <v>517</v>
      </c>
      <c r="C9" s="8">
        <v>4219</v>
      </c>
      <c r="D9" s="66" t="s">
        <v>392</v>
      </c>
    </row>
    <row r="10" spans="1:5">
      <c r="A10" s="136"/>
      <c r="B10" s="64" t="s">
        <v>518</v>
      </c>
      <c r="C10" s="8">
        <v>3605</v>
      </c>
      <c r="D10" s="66"/>
    </row>
    <row r="11" spans="1:5">
      <c r="A11" s="136"/>
      <c r="B11" s="68" t="s">
        <v>521</v>
      </c>
      <c r="C11" s="8">
        <v>9600</v>
      </c>
      <c r="D11" s="66"/>
    </row>
    <row r="12" spans="1:5">
      <c r="A12" s="136"/>
      <c r="B12" s="7" t="s">
        <v>520</v>
      </c>
      <c r="C12" s="8">
        <v>700</v>
      </c>
      <c r="D12" s="66" t="s">
        <v>519</v>
      </c>
    </row>
    <row r="13" spans="1:5">
      <c r="A13" s="136"/>
      <c r="B13" s="7" t="s">
        <v>524</v>
      </c>
      <c r="C13" s="71">
        <v>24144.5</v>
      </c>
      <c r="D13" s="66"/>
    </row>
    <row r="14" spans="1:5">
      <c r="A14" s="136"/>
      <c r="B14" s="16" t="s">
        <v>525</v>
      </c>
      <c r="C14" s="17">
        <v>131254.5</v>
      </c>
      <c r="D14" s="66"/>
    </row>
    <row r="15" spans="1:5">
      <c r="A15" s="136"/>
      <c r="B15" s="11" t="s">
        <v>510</v>
      </c>
      <c r="C15" s="8">
        <v>3000</v>
      </c>
      <c r="D15" s="66" t="s">
        <v>526</v>
      </c>
    </row>
    <row r="16" spans="1:5">
      <c r="A16" s="135" t="s">
        <v>10</v>
      </c>
      <c r="B16" s="64" t="s">
        <v>527</v>
      </c>
      <c r="C16" s="15">
        <v>5400</v>
      </c>
      <c r="D16" s="66"/>
    </row>
    <row r="17" spans="1:4">
      <c r="A17" s="136"/>
      <c r="B17" s="16" t="s">
        <v>528</v>
      </c>
      <c r="C17" s="17">
        <v>376830</v>
      </c>
      <c r="D17" s="66"/>
    </row>
    <row r="18" spans="1:4">
      <c r="A18" s="135" t="s">
        <v>13</v>
      </c>
      <c r="B18" s="64" t="s">
        <v>530</v>
      </c>
      <c r="C18" s="17">
        <v>480</v>
      </c>
      <c r="D18" s="66"/>
    </row>
    <row r="19" spans="1:4">
      <c r="A19" s="136"/>
      <c r="B19" s="7" t="s">
        <v>531</v>
      </c>
      <c r="C19" s="8">
        <v>17645</v>
      </c>
      <c r="D19" s="66"/>
    </row>
    <row r="20" spans="1:4">
      <c r="A20" s="136"/>
      <c r="B20" s="7" t="s">
        <v>460</v>
      </c>
      <c r="C20" s="17">
        <v>600</v>
      </c>
      <c r="D20" s="66" t="s">
        <v>515</v>
      </c>
    </row>
    <row r="21" spans="1:4">
      <c r="A21" s="136"/>
      <c r="B21" s="7" t="s">
        <v>532</v>
      </c>
      <c r="C21" s="8">
        <v>11101.1</v>
      </c>
      <c r="D21" s="66" t="s">
        <v>392</v>
      </c>
    </row>
    <row r="22" spans="1:4">
      <c r="A22" s="136"/>
      <c r="B22" s="12" t="s">
        <v>533</v>
      </c>
      <c r="C22" s="17">
        <v>28800</v>
      </c>
      <c r="D22" s="66" t="s">
        <v>535</v>
      </c>
    </row>
    <row r="23" spans="1:4">
      <c r="A23" s="136"/>
      <c r="B23" s="64" t="s">
        <v>534</v>
      </c>
      <c r="C23" s="8">
        <v>2000</v>
      </c>
      <c r="D23" s="66"/>
    </row>
    <row r="24" spans="1:4">
      <c r="A24" s="135" t="s">
        <v>23</v>
      </c>
      <c r="B24" s="7" t="s">
        <v>537</v>
      </c>
      <c r="C24" s="8">
        <v>44992.480000000003</v>
      </c>
      <c r="D24" s="66"/>
    </row>
    <row r="25" spans="1:4">
      <c r="A25" s="136"/>
      <c r="B25" s="64" t="s">
        <v>539</v>
      </c>
      <c r="C25" s="8">
        <v>79500</v>
      </c>
      <c r="D25" s="66"/>
    </row>
    <row r="26" spans="1:4">
      <c r="A26" s="136"/>
      <c r="B26" s="12" t="s">
        <v>541</v>
      </c>
      <c r="C26" s="8">
        <v>106650</v>
      </c>
      <c r="D26" s="66" t="s">
        <v>538</v>
      </c>
    </row>
    <row r="27" spans="1:4">
      <c r="A27" s="136"/>
      <c r="B27" s="12" t="s">
        <v>540</v>
      </c>
      <c r="C27" s="8">
        <v>33516</v>
      </c>
      <c r="D27" s="20" t="s">
        <v>586</v>
      </c>
    </row>
    <row r="28" spans="1:4">
      <c r="A28" s="136"/>
      <c r="B28" s="12" t="s">
        <v>542</v>
      </c>
      <c r="C28" s="8">
        <v>18500</v>
      </c>
      <c r="D28" s="66"/>
    </row>
    <row r="29" spans="1:4">
      <c r="A29" s="136"/>
      <c r="B29" s="72" t="s">
        <v>544</v>
      </c>
      <c r="C29" s="8">
        <v>5059.55</v>
      </c>
      <c r="D29" s="66" t="s">
        <v>543</v>
      </c>
    </row>
    <row r="30" spans="1:4">
      <c r="A30" s="136"/>
      <c r="B30" s="7" t="s">
        <v>406</v>
      </c>
      <c r="C30" s="8">
        <v>7636</v>
      </c>
      <c r="D30" s="66" t="s">
        <v>235</v>
      </c>
    </row>
    <row r="31" spans="1:4">
      <c r="A31" s="136"/>
      <c r="B31" s="72" t="s">
        <v>545</v>
      </c>
      <c r="C31" s="17">
        <v>5190</v>
      </c>
      <c r="D31" s="66"/>
    </row>
    <row r="32" spans="1:4">
      <c r="A32" s="136"/>
      <c r="B32" s="74" t="s">
        <v>563</v>
      </c>
      <c r="C32" s="8">
        <v>5618</v>
      </c>
      <c r="D32" s="66" t="s">
        <v>235</v>
      </c>
    </row>
    <row r="33" spans="1:4">
      <c r="A33" s="136"/>
      <c r="B33" s="72" t="s">
        <v>546</v>
      </c>
      <c r="C33" s="17">
        <v>17000</v>
      </c>
      <c r="D33" s="66"/>
    </row>
    <row r="34" spans="1:4">
      <c r="A34" s="136"/>
      <c r="B34" s="73" t="s">
        <v>547</v>
      </c>
      <c r="C34" s="17">
        <v>362520</v>
      </c>
      <c r="D34" s="66"/>
    </row>
    <row r="35" spans="1:4">
      <c r="A35" s="136"/>
      <c r="B35" s="72" t="s">
        <v>548</v>
      </c>
      <c r="C35" s="17">
        <v>1200</v>
      </c>
      <c r="D35" s="66"/>
    </row>
    <row r="36" spans="1:4">
      <c r="A36" s="136"/>
      <c r="B36" s="7" t="s">
        <v>549</v>
      </c>
      <c r="C36" s="17">
        <v>3819.2</v>
      </c>
      <c r="D36" s="66" t="s">
        <v>392</v>
      </c>
    </row>
    <row r="37" spans="1:4">
      <c r="A37" s="137"/>
      <c r="B37" s="73" t="s">
        <v>550</v>
      </c>
      <c r="C37" s="17">
        <v>131254.5</v>
      </c>
      <c r="D37" s="66"/>
    </row>
    <row r="38" spans="1:4">
      <c r="A38" s="136" t="s">
        <v>35</v>
      </c>
      <c r="B38" s="74" t="s">
        <v>552</v>
      </c>
      <c r="C38" s="8">
        <v>49956</v>
      </c>
      <c r="D38" s="75" t="s">
        <v>551</v>
      </c>
    </row>
    <row r="39" spans="1:4">
      <c r="A39" s="136"/>
      <c r="B39" s="72" t="s">
        <v>554</v>
      </c>
      <c r="C39" s="8">
        <v>2000</v>
      </c>
      <c r="D39" s="66"/>
    </row>
    <row r="40" spans="1:4">
      <c r="A40" s="136"/>
      <c r="B40" s="72" t="s">
        <v>553</v>
      </c>
      <c r="C40" s="8">
        <v>49509.14</v>
      </c>
      <c r="D40" s="66"/>
    </row>
    <row r="41" spans="1:4">
      <c r="A41" s="136"/>
      <c r="B41" s="72" t="s">
        <v>555</v>
      </c>
      <c r="C41" s="8">
        <v>1020</v>
      </c>
      <c r="D41" s="20"/>
    </row>
    <row r="42" spans="1:4">
      <c r="A42" s="136"/>
      <c r="B42" s="76" t="s">
        <v>556</v>
      </c>
      <c r="C42" s="17">
        <v>5500</v>
      </c>
      <c r="D42" s="66" t="s">
        <v>504</v>
      </c>
    </row>
    <row r="43" spans="1:4">
      <c r="A43" s="136"/>
      <c r="B43" s="76" t="s">
        <v>558</v>
      </c>
      <c r="C43" s="8">
        <v>35250</v>
      </c>
      <c r="D43" s="77" t="s">
        <v>557</v>
      </c>
    </row>
    <row r="44" spans="1:4">
      <c r="A44" s="136"/>
      <c r="B44" s="74" t="s">
        <v>559</v>
      </c>
      <c r="C44" s="8">
        <v>1080</v>
      </c>
      <c r="D44" s="75" t="s">
        <v>560</v>
      </c>
    </row>
    <row r="45" spans="1:4">
      <c r="A45" s="136"/>
      <c r="B45" s="74" t="s">
        <v>561</v>
      </c>
      <c r="C45" s="8">
        <v>8240</v>
      </c>
      <c r="D45" s="75"/>
    </row>
    <row r="46" spans="1:4">
      <c r="A46" s="136"/>
      <c r="B46" s="74" t="s">
        <v>564</v>
      </c>
      <c r="C46" s="8">
        <v>2700</v>
      </c>
      <c r="D46" s="75" t="s">
        <v>562</v>
      </c>
    </row>
    <row r="47" spans="1:4">
      <c r="A47" s="136"/>
      <c r="B47" s="73" t="s">
        <v>565</v>
      </c>
      <c r="C47" s="17">
        <v>376830</v>
      </c>
      <c r="D47" s="75"/>
    </row>
    <row r="48" spans="1:4">
      <c r="A48" s="136"/>
      <c r="B48" s="7" t="s">
        <v>566</v>
      </c>
      <c r="C48" s="8">
        <v>6148</v>
      </c>
      <c r="D48" s="66" t="s">
        <v>392</v>
      </c>
    </row>
    <row r="49" spans="1:5">
      <c r="A49" s="136"/>
      <c r="B49" s="72" t="s">
        <v>567</v>
      </c>
      <c r="C49" s="8">
        <v>3155</v>
      </c>
      <c r="D49" s="75"/>
    </row>
    <row r="50" spans="1:5">
      <c r="A50" s="136"/>
      <c r="B50" s="7" t="s">
        <v>569</v>
      </c>
      <c r="C50" s="17">
        <v>134724.10999999999</v>
      </c>
      <c r="D50" s="66" t="s">
        <v>568</v>
      </c>
    </row>
    <row r="51" spans="1:5">
      <c r="A51" s="136"/>
      <c r="B51" s="64" t="s">
        <v>570</v>
      </c>
      <c r="C51" s="8">
        <v>2340</v>
      </c>
      <c r="D51" s="66" t="s">
        <v>515</v>
      </c>
    </row>
    <row r="52" spans="1:5">
      <c r="A52" s="139" t="s">
        <v>43</v>
      </c>
      <c r="B52" s="35" t="s">
        <v>571</v>
      </c>
      <c r="C52" s="8">
        <v>13500</v>
      </c>
      <c r="D52" s="66"/>
    </row>
    <row r="53" spans="1:5">
      <c r="A53" s="139"/>
      <c r="B53" s="64" t="s">
        <v>573</v>
      </c>
      <c r="C53" s="8">
        <v>1817</v>
      </c>
      <c r="D53" s="66" t="s">
        <v>572</v>
      </c>
    </row>
    <row r="54" spans="1:5">
      <c r="A54" s="139"/>
      <c r="B54" s="68" t="s">
        <v>575</v>
      </c>
      <c r="C54" s="17">
        <v>37900</v>
      </c>
      <c r="D54" s="75" t="s">
        <v>574</v>
      </c>
      <c r="E54" s="23"/>
    </row>
    <row r="55" spans="1:5">
      <c r="A55" s="139"/>
      <c r="B55" s="7" t="s">
        <v>576</v>
      </c>
      <c r="C55" s="8">
        <v>1684</v>
      </c>
      <c r="D55" s="75" t="s">
        <v>392</v>
      </c>
    </row>
    <row r="56" spans="1:5">
      <c r="A56" s="139"/>
      <c r="B56" s="7" t="s">
        <v>577</v>
      </c>
      <c r="C56" s="8">
        <v>46159.58</v>
      </c>
      <c r="D56" s="66"/>
    </row>
    <row r="57" spans="1:5">
      <c r="A57" s="135" t="s">
        <v>52</v>
      </c>
      <c r="B57" s="72" t="s">
        <v>578</v>
      </c>
      <c r="C57" s="8">
        <v>3600</v>
      </c>
      <c r="D57" s="66"/>
    </row>
    <row r="58" spans="1:5">
      <c r="A58" s="136"/>
      <c r="B58" s="90" t="s">
        <v>648</v>
      </c>
      <c r="C58" s="8">
        <v>23800</v>
      </c>
      <c r="D58" s="75" t="s">
        <v>484</v>
      </c>
    </row>
    <row r="59" spans="1:5">
      <c r="A59" s="136"/>
      <c r="B59" s="16" t="s">
        <v>579</v>
      </c>
      <c r="C59" s="17">
        <v>362520</v>
      </c>
      <c r="D59" s="66"/>
    </row>
    <row r="60" spans="1:5">
      <c r="A60" s="136"/>
      <c r="B60" s="90" t="s">
        <v>647</v>
      </c>
      <c r="C60" s="8">
        <v>5771</v>
      </c>
      <c r="D60" s="75" t="s">
        <v>235</v>
      </c>
    </row>
    <row r="61" spans="1:5">
      <c r="A61" s="136"/>
      <c r="B61" s="7" t="s">
        <v>499</v>
      </c>
      <c r="C61" s="8">
        <v>13921</v>
      </c>
      <c r="D61" s="75" t="s">
        <v>484</v>
      </c>
    </row>
    <row r="62" spans="1:5">
      <c r="A62" s="136"/>
      <c r="B62" s="7" t="s">
        <v>580</v>
      </c>
      <c r="C62" s="8">
        <v>9596.7999999999993</v>
      </c>
      <c r="D62" s="66" t="s">
        <v>581</v>
      </c>
    </row>
    <row r="63" spans="1:5">
      <c r="A63" s="136"/>
      <c r="B63" s="16" t="s">
        <v>582</v>
      </c>
      <c r="C63" s="17">
        <v>131254.5</v>
      </c>
      <c r="D63" s="66"/>
    </row>
    <row r="64" spans="1:5">
      <c r="A64" s="136"/>
      <c r="B64" s="7" t="s">
        <v>583</v>
      </c>
      <c r="C64" s="8">
        <v>59050.36</v>
      </c>
      <c r="D64" s="66"/>
    </row>
    <row r="65" spans="1:4">
      <c r="A65" s="139" t="s">
        <v>63</v>
      </c>
      <c r="B65" s="68" t="s">
        <v>585</v>
      </c>
      <c r="C65" s="17">
        <v>9450</v>
      </c>
      <c r="D65" s="66"/>
    </row>
    <row r="66" spans="1:4">
      <c r="A66" s="139"/>
      <c r="B66" s="76" t="s">
        <v>591</v>
      </c>
      <c r="C66" s="8">
        <v>14364</v>
      </c>
      <c r="D66" s="77" t="s">
        <v>587</v>
      </c>
    </row>
    <row r="67" spans="1:4">
      <c r="A67" s="139"/>
      <c r="B67" s="72" t="s">
        <v>588</v>
      </c>
      <c r="C67" s="8">
        <v>3310</v>
      </c>
      <c r="D67" s="66"/>
    </row>
    <row r="68" spans="1:4">
      <c r="A68" s="139"/>
      <c r="B68" s="7" t="s">
        <v>589</v>
      </c>
      <c r="C68" s="8">
        <v>20503.810000000001</v>
      </c>
      <c r="D68" s="66"/>
    </row>
    <row r="69" spans="1:4">
      <c r="A69" s="139"/>
      <c r="B69" s="16" t="s">
        <v>590</v>
      </c>
      <c r="C69" s="17">
        <v>376830</v>
      </c>
      <c r="D69" s="66"/>
    </row>
    <row r="70" spans="1:4">
      <c r="A70" s="139"/>
      <c r="B70" s="68" t="s">
        <v>593</v>
      </c>
      <c r="C70" s="17">
        <v>47910</v>
      </c>
      <c r="D70" s="20" t="s">
        <v>592</v>
      </c>
    </row>
    <row r="71" spans="1:4">
      <c r="A71" s="139"/>
      <c r="B71" s="7" t="s">
        <v>603</v>
      </c>
      <c r="C71" s="17">
        <v>9954</v>
      </c>
      <c r="D71" s="77"/>
    </row>
    <row r="72" spans="1:4">
      <c r="A72" s="139"/>
      <c r="B72" s="7" t="s">
        <v>595</v>
      </c>
      <c r="C72" s="8">
        <v>3825</v>
      </c>
      <c r="D72" s="66" t="s">
        <v>594</v>
      </c>
    </row>
    <row r="73" spans="1:4">
      <c r="A73" s="136" t="s">
        <v>75</v>
      </c>
      <c r="B73" s="76" t="s">
        <v>597</v>
      </c>
      <c r="C73" s="8">
        <v>106650</v>
      </c>
      <c r="D73" s="66" t="s">
        <v>596</v>
      </c>
    </row>
    <row r="74" spans="1:4">
      <c r="A74" s="136"/>
      <c r="B74" s="7" t="s">
        <v>598</v>
      </c>
      <c r="C74" s="17">
        <v>8000</v>
      </c>
      <c r="D74" s="75" t="s">
        <v>596</v>
      </c>
    </row>
    <row r="75" spans="1:4">
      <c r="A75" s="136"/>
      <c r="B75" s="7" t="s">
        <v>599</v>
      </c>
      <c r="C75" s="8">
        <v>2180</v>
      </c>
      <c r="D75" s="66" t="s">
        <v>600</v>
      </c>
    </row>
    <row r="76" spans="1:4">
      <c r="A76" s="136"/>
      <c r="B76" s="64" t="s">
        <v>601</v>
      </c>
      <c r="C76" s="8">
        <v>2000</v>
      </c>
      <c r="D76" s="66"/>
    </row>
    <row r="77" spans="1:4">
      <c r="A77" s="136"/>
      <c r="B77" s="7" t="s">
        <v>602</v>
      </c>
      <c r="C77" s="8">
        <v>3031.9</v>
      </c>
      <c r="D77" s="66"/>
    </row>
    <row r="78" spans="1:4">
      <c r="A78" s="136"/>
      <c r="B78" s="7" t="s">
        <v>604</v>
      </c>
      <c r="C78" s="8">
        <v>1746</v>
      </c>
      <c r="D78" s="75" t="s">
        <v>235</v>
      </c>
    </row>
    <row r="79" spans="1:4">
      <c r="A79" s="136"/>
      <c r="B79" s="76" t="s">
        <v>718</v>
      </c>
      <c r="C79" s="17">
        <v>28800</v>
      </c>
      <c r="D79" s="75" t="s">
        <v>470</v>
      </c>
    </row>
    <row r="80" spans="1:4">
      <c r="A80" s="136"/>
      <c r="B80" s="76" t="s">
        <v>605</v>
      </c>
      <c r="C80" s="17">
        <v>16027</v>
      </c>
      <c r="D80" s="75" t="s">
        <v>470</v>
      </c>
    </row>
    <row r="81" spans="1:5">
      <c r="A81" s="139" t="s">
        <v>97</v>
      </c>
      <c r="B81" s="64" t="s">
        <v>606</v>
      </c>
      <c r="C81" s="17">
        <v>2850</v>
      </c>
      <c r="D81" s="66"/>
    </row>
    <row r="82" spans="1:5">
      <c r="A82" s="139"/>
      <c r="B82" s="7" t="s">
        <v>607</v>
      </c>
      <c r="C82" s="8">
        <v>15000</v>
      </c>
      <c r="D82" s="66"/>
    </row>
    <row r="83" spans="1:5">
      <c r="A83" s="139"/>
      <c r="B83" s="7" t="s">
        <v>608</v>
      </c>
      <c r="C83" s="8">
        <v>39165.61</v>
      </c>
      <c r="D83" s="75" t="s">
        <v>428</v>
      </c>
    </row>
    <row r="84" spans="1:5">
      <c r="A84" s="139"/>
      <c r="B84" s="16" t="s">
        <v>609</v>
      </c>
      <c r="C84" s="17">
        <v>362520</v>
      </c>
      <c r="D84" s="66"/>
    </row>
    <row r="85" spans="1:5">
      <c r="A85" s="139"/>
      <c r="B85" s="7" t="s">
        <v>610</v>
      </c>
      <c r="C85" s="17">
        <v>35187.93</v>
      </c>
      <c r="D85" s="66"/>
    </row>
    <row r="86" spans="1:5">
      <c r="A86" s="139"/>
      <c r="B86" s="64" t="s">
        <v>611</v>
      </c>
      <c r="C86" s="17">
        <v>1610</v>
      </c>
      <c r="D86" s="66"/>
    </row>
    <row r="87" spans="1:5">
      <c r="A87" s="139"/>
      <c r="B87" s="78" t="s">
        <v>612</v>
      </c>
      <c r="C87" s="8">
        <v>4111.2</v>
      </c>
      <c r="D87" s="66"/>
    </row>
    <row r="88" spans="1:5">
      <c r="A88" s="139"/>
      <c r="B88" s="80" t="s">
        <v>614</v>
      </c>
      <c r="C88" s="8">
        <v>25200</v>
      </c>
      <c r="D88" s="79" t="s">
        <v>613</v>
      </c>
    </row>
    <row r="89" spans="1:5">
      <c r="A89" s="136" t="s">
        <v>209</v>
      </c>
      <c r="B89" s="78" t="s">
        <v>616</v>
      </c>
      <c r="C89" s="8">
        <v>500</v>
      </c>
      <c r="D89" s="66"/>
    </row>
    <row r="90" spans="1:5">
      <c r="A90" s="136"/>
      <c r="B90" s="81" t="s">
        <v>615</v>
      </c>
      <c r="C90" s="17">
        <v>131254.5</v>
      </c>
      <c r="D90" s="66"/>
      <c r="E90" s="89"/>
    </row>
    <row r="91" spans="1:5">
      <c r="A91" s="136"/>
      <c r="B91" s="78" t="s">
        <v>617</v>
      </c>
      <c r="C91" s="17">
        <v>3235</v>
      </c>
      <c r="D91" s="75" t="s">
        <v>235</v>
      </c>
    </row>
    <row r="92" spans="1:5">
      <c r="A92" s="136"/>
      <c r="B92" s="64" t="s">
        <v>623</v>
      </c>
      <c r="C92" s="8">
        <v>63471</v>
      </c>
      <c r="D92" s="66" t="s">
        <v>618</v>
      </c>
    </row>
    <row r="93" spans="1:5">
      <c r="A93" s="136"/>
      <c r="B93" s="76" t="s">
        <v>619</v>
      </c>
      <c r="C93" s="8">
        <v>35250</v>
      </c>
      <c r="D93" s="77" t="s">
        <v>557</v>
      </c>
    </row>
    <row r="94" spans="1:5">
      <c r="A94" s="136"/>
      <c r="B94" s="16" t="s">
        <v>622</v>
      </c>
      <c r="C94" s="17">
        <v>376830</v>
      </c>
      <c r="D94" s="66"/>
      <c r="E94" s="89"/>
    </row>
    <row r="95" spans="1:5">
      <c r="A95" s="136"/>
      <c r="B95" s="7" t="s">
        <v>624</v>
      </c>
      <c r="C95" s="8">
        <v>40675.01</v>
      </c>
      <c r="D95" s="66"/>
    </row>
    <row r="96" spans="1:5">
      <c r="A96" s="136"/>
      <c r="B96" s="7" t="s">
        <v>621</v>
      </c>
      <c r="C96" s="8">
        <v>6248</v>
      </c>
      <c r="D96" s="66"/>
    </row>
    <row r="97" spans="1:5">
      <c r="A97" s="135" t="s">
        <v>112</v>
      </c>
      <c r="B97" s="68" t="s">
        <v>625</v>
      </c>
      <c r="C97" s="17">
        <v>42898</v>
      </c>
      <c r="D97" s="77" t="s">
        <v>592</v>
      </c>
    </row>
    <row r="98" spans="1:5">
      <c r="A98" s="136"/>
      <c r="B98" s="7" t="s">
        <v>626</v>
      </c>
      <c r="C98" s="26">
        <v>5000</v>
      </c>
      <c r="D98" s="66"/>
    </row>
    <row r="99" spans="1:5">
      <c r="A99" s="136"/>
      <c r="B99" s="35" t="s">
        <v>627</v>
      </c>
      <c r="C99" s="8">
        <v>13500</v>
      </c>
      <c r="D99" s="66"/>
    </row>
    <row r="100" spans="1:5">
      <c r="A100" s="136"/>
      <c r="B100" s="80" t="s">
        <v>628</v>
      </c>
      <c r="C100" s="8">
        <v>975</v>
      </c>
      <c r="D100" s="66"/>
    </row>
    <row r="101" spans="1:5">
      <c r="A101" s="136"/>
      <c r="B101" s="7" t="s">
        <v>638</v>
      </c>
      <c r="C101" s="8">
        <v>6411</v>
      </c>
      <c r="D101" s="66"/>
    </row>
    <row r="102" spans="1:5">
      <c r="A102" s="136"/>
      <c r="B102" s="83" t="s">
        <v>630</v>
      </c>
      <c r="C102" s="8">
        <v>79500</v>
      </c>
      <c r="D102" s="66"/>
    </row>
    <row r="103" spans="1:5">
      <c r="A103" s="136"/>
      <c r="B103" s="7" t="s">
        <v>629</v>
      </c>
      <c r="C103" s="8">
        <v>2480</v>
      </c>
      <c r="D103" s="66"/>
    </row>
    <row r="104" spans="1:5">
      <c r="A104" s="136"/>
      <c r="B104" s="64"/>
      <c r="C104" s="8"/>
      <c r="D104" s="66"/>
    </row>
    <row r="105" spans="1:5">
      <c r="A105" s="136"/>
      <c r="B105" s="64"/>
      <c r="C105" s="8"/>
      <c r="D105" s="66"/>
    </row>
    <row r="106" spans="1:5">
      <c r="A106" s="136"/>
      <c r="B106" s="64"/>
      <c r="C106" s="8"/>
      <c r="D106" s="66"/>
      <c r="E106" s="23"/>
    </row>
    <row r="107" spans="1:5">
      <c r="A107" s="136"/>
      <c r="B107" s="7"/>
      <c r="C107" s="8"/>
      <c r="D107" s="70"/>
      <c r="E107" s="23"/>
    </row>
    <row r="108" spans="1:5">
      <c r="A108" s="136"/>
      <c r="B108" s="64"/>
      <c r="C108" s="8"/>
      <c r="D108" s="70"/>
      <c r="E108" s="23"/>
    </row>
    <row r="109" spans="1:5">
      <c r="A109" s="136"/>
      <c r="B109" s="64"/>
      <c r="C109" s="8"/>
      <c r="D109" s="20"/>
      <c r="E109" s="23"/>
    </row>
    <row r="110" spans="1:5">
      <c r="A110" s="136"/>
      <c r="B110" s="7"/>
      <c r="C110" s="8"/>
      <c r="D110" s="33"/>
      <c r="E110" s="23"/>
    </row>
    <row r="111" spans="1:5">
      <c r="A111" s="136"/>
      <c r="B111" s="7"/>
      <c r="C111" s="8"/>
      <c r="D111" s="66"/>
    </row>
    <row r="112" spans="1:5">
      <c r="A112" s="69" t="s">
        <v>129</v>
      </c>
      <c r="B112" s="27"/>
      <c r="C112" s="8"/>
      <c r="D112" s="6"/>
    </row>
  </sheetData>
  <mergeCells count="13">
    <mergeCell ref="A97:A111"/>
    <mergeCell ref="A52:A56"/>
    <mergeCell ref="A57:A64"/>
    <mergeCell ref="A65:A72"/>
    <mergeCell ref="A73:A80"/>
    <mergeCell ref="A81:A88"/>
    <mergeCell ref="A89:A96"/>
    <mergeCell ref="A1:C1"/>
    <mergeCell ref="A3:A15"/>
    <mergeCell ref="A16:A17"/>
    <mergeCell ref="A18:A23"/>
    <mergeCell ref="A24:A37"/>
    <mergeCell ref="A38:A51"/>
  </mergeCells>
  <phoneticPr fontId="11" type="noConversion"/>
  <conditionalFormatting sqref="C89">
    <cfRule type="cellIs" dxfId="371" priority="166" operator="equal">
      <formula>5000</formula>
    </cfRule>
    <cfRule type="cellIs" dxfId="370" priority="167" operator="equal">
      <formula>5000</formula>
    </cfRule>
  </conditionalFormatting>
  <conditionalFormatting sqref="C20">
    <cfRule type="cellIs" dxfId="369" priority="156" operator="equal">
      <formula>5000</formula>
    </cfRule>
    <cfRule type="cellIs" dxfId="368" priority="157" operator="equal">
      <formula>5000</formula>
    </cfRule>
  </conditionalFormatting>
  <conditionalFormatting sqref="C28">
    <cfRule type="cellIs" dxfId="367" priority="150" operator="equal">
      <formula>5000</formula>
    </cfRule>
    <cfRule type="cellIs" dxfId="366" priority="151" operator="equal">
      <formula>5000</formula>
    </cfRule>
  </conditionalFormatting>
  <conditionalFormatting sqref="C31 C33 C35:C36">
    <cfRule type="cellIs" dxfId="365" priority="146" operator="equal">
      <formula>5000</formula>
    </cfRule>
    <cfRule type="cellIs" dxfId="364" priority="147" operator="equal">
      <formula>5000</formula>
    </cfRule>
  </conditionalFormatting>
  <conditionalFormatting sqref="C50">
    <cfRule type="cellIs" dxfId="363" priority="142" operator="equal">
      <formula>5000</formula>
    </cfRule>
    <cfRule type="cellIs" dxfId="362" priority="143" operator="equal">
      <formula>5000</formula>
    </cfRule>
  </conditionalFormatting>
  <conditionalFormatting sqref="C65">
    <cfRule type="cellIs" dxfId="361" priority="134" operator="equal">
      <formula>5000</formula>
    </cfRule>
    <cfRule type="cellIs" dxfId="360" priority="135" operator="equal">
      <formula>5000</formula>
    </cfRule>
  </conditionalFormatting>
  <conditionalFormatting sqref="C72">
    <cfRule type="cellIs" dxfId="359" priority="132" operator="equal">
      <formula>5000</formula>
    </cfRule>
    <cfRule type="cellIs" dxfId="358" priority="133" operator="equal">
      <formula>5000</formula>
    </cfRule>
  </conditionalFormatting>
  <conditionalFormatting sqref="C75:C77">
    <cfRule type="cellIs" dxfId="357" priority="186" operator="equal">
      <formula>5000</formula>
    </cfRule>
    <cfRule type="cellIs" dxfId="356" priority="187" operator="equal">
      <formula>5000</formula>
    </cfRule>
  </conditionalFormatting>
  <conditionalFormatting sqref="C74">
    <cfRule type="cellIs" dxfId="355" priority="126" operator="equal">
      <formula>5000</formula>
    </cfRule>
    <cfRule type="cellIs" dxfId="354" priority="127" operator="equal">
      <formula>5000</formula>
    </cfRule>
  </conditionalFormatting>
  <conditionalFormatting sqref="C81">
    <cfRule type="cellIs" dxfId="353" priority="124" operator="equal">
      <formula>5000</formula>
    </cfRule>
    <cfRule type="cellIs" dxfId="352" priority="125" operator="equal">
      <formula>5000</formula>
    </cfRule>
  </conditionalFormatting>
  <conditionalFormatting sqref="C82">
    <cfRule type="cellIs" dxfId="351" priority="184" operator="equal">
      <formula>5000</formula>
    </cfRule>
    <cfRule type="cellIs" dxfId="350" priority="185" operator="equal">
      <formula>5000</formula>
    </cfRule>
  </conditionalFormatting>
  <conditionalFormatting sqref="C95">
    <cfRule type="cellIs" dxfId="349" priority="176" operator="equal">
      <formula>5000</formula>
    </cfRule>
    <cfRule type="cellIs" dxfId="348" priority="177" operator="equal">
      <formula>5000</formula>
    </cfRule>
  </conditionalFormatting>
  <conditionalFormatting sqref="C96">
    <cfRule type="cellIs" dxfId="347" priority="174" operator="equal">
      <formula>5000</formula>
    </cfRule>
    <cfRule type="cellIs" dxfId="346" priority="175" operator="equal">
      <formula>5000</formula>
    </cfRule>
  </conditionalFormatting>
  <conditionalFormatting sqref="C100:C101 C103:C112">
    <cfRule type="cellIs" dxfId="345" priority="170" operator="equal">
      <formula>5000</formula>
    </cfRule>
    <cfRule type="cellIs" dxfId="344" priority="171" operator="equal">
      <formula>5000</formula>
    </cfRule>
  </conditionalFormatting>
  <conditionalFormatting sqref="C92">
    <cfRule type="cellIs" dxfId="343" priority="178" operator="equal">
      <formula>5000</formula>
    </cfRule>
    <cfRule type="cellIs" dxfId="342" priority="179" operator="equal">
      <formula>5000</formula>
    </cfRule>
  </conditionalFormatting>
  <conditionalFormatting sqref="C4 C1:C2 C23 C29 C38 C51:C53 C55:C57 C62 C67:C68 C113:C65536 C78 C87 C6:C7 C9:C10 C12:C13 C19 C40:C41 C44:C46 C48:C49 C64">
    <cfRule type="cellIs" dxfId="341" priority="190" operator="equal">
      <formula>5000</formula>
    </cfRule>
    <cfRule type="cellIs" dxfId="340" priority="191" operator="equal">
      <formula>5000</formula>
    </cfRule>
  </conditionalFormatting>
  <conditionalFormatting sqref="C85">
    <cfRule type="cellIs" dxfId="339" priority="122" operator="equal">
      <formula>5000</formula>
    </cfRule>
    <cfRule type="cellIs" dxfId="338" priority="123" operator="equal">
      <formula>5000</formula>
    </cfRule>
  </conditionalFormatting>
  <conditionalFormatting sqref="C86">
    <cfRule type="cellIs" dxfId="337" priority="120" operator="equal">
      <formula>5000</formula>
    </cfRule>
    <cfRule type="cellIs" dxfId="336" priority="121" operator="equal">
      <formula>5000</formula>
    </cfRule>
  </conditionalFormatting>
  <conditionalFormatting sqref="C88">
    <cfRule type="cellIs" dxfId="335" priority="118" operator="equal">
      <formula>5000</formula>
    </cfRule>
    <cfRule type="cellIs" dxfId="334" priority="119" operator="equal">
      <formula>5000</formula>
    </cfRule>
  </conditionalFormatting>
  <conditionalFormatting sqref="C3">
    <cfRule type="cellIs" dxfId="333" priority="95" operator="equal">
      <formula>5000</formula>
    </cfRule>
    <cfRule type="cellIs" dxfId="332" priority="96" operator="equal">
      <formula>5000</formula>
    </cfRule>
  </conditionalFormatting>
  <conditionalFormatting sqref="C5">
    <cfRule type="cellIs" dxfId="331" priority="93" operator="equal">
      <formula>5000</formula>
    </cfRule>
    <cfRule type="cellIs" dxfId="330" priority="94" operator="equal">
      <formula>5000</formula>
    </cfRule>
  </conditionalFormatting>
  <conditionalFormatting sqref="C8">
    <cfRule type="cellIs" dxfId="329" priority="91" operator="equal">
      <formula>5000</formula>
    </cfRule>
    <cfRule type="cellIs" dxfId="328" priority="92" operator="equal">
      <formula>5000</formula>
    </cfRule>
  </conditionalFormatting>
  <conditionalFormatting sqref="C11">
    <cfRule type="cellIs" dxfId="327" priority="89" operator="equal">
      <formula>5000</formula>
    </cfRule>
    <cfRule type="cellIs" dxfId="326" priority="90" operator="equal">
      <formula>5000</formula>
    </cfRule>
  </conditionalFormatting>
  <conditionalFormatting sqref="C14">
    <cfRule type="cellIs" dxfId="325" priority="85" operator="equal">
      <formula>5000</formula>
    </cfRule>
    <cfRule type="cellIs" dxfId="324" priority="86" operator="equal">
      <formula>5000</formula>
    </cfRule>
  </conditionalFormatting>
  <conditionalFormatting sqref="C15">
    <cfRule type="cellIs" dxfId="323" priority="83" operator="equal">
      <formula>5000</formula>
    </cfRule>
    <cfRule type="cellIs" dxfId="322" priority="84" operator="equal">
      <formula>5000</formula>
    </cfRule>
  </conditionalFormatting>
  <conditionalFormatting sqref="C17">
    <cfRule type="cellIs" dxfId="321" priority="81" operator="equal">
      <formula>5000</formula>
    </cfRule>
    <cfRule type="cellIs" dxfId="320" priority="82" operator="equal">
      <formula>5000</formula>
    </cfRule>
  </conditionalFormatting>
  <conditionalFormatting sqref="C18">
    <cfRule type="cellIs" dxfId="319" priority="79" operator="equal">
      <formula>5000</formula>
    </cfRule>
    <cfRule type="cellIs" dxfId="318" priority="80" operator="equal">
      <formula>5000</formula>
    </cfRule>
  </conditionalFormatting>
  <conditionalFormatting sqref="C21">
    <cfRule type="cellIs" dxfId="317" priority="77" operator="equal">
      <formula>5000</formula>
    </cfRule>
    <cfRule type="cellIs" dxfId="316" priority="78" operator="equal">
      <formula>5000</formula>
    </cfRule>
  </conditionalFormatting>
  <conditionalFormatting sqref="C22">
    <cfRule type="cellIs" dxfId="315" priority="75" operator="equal">
      <formula>5000</formula>
    </cfRule>
    <cfRule type="cellIs" dxfId="314" priority="76" operator="equal">
      <formula>5000</formula>
    </cfRule>
  </conditionalFormatting>
  <conditionalFormatting sqref="E6">
    <cfRule type="cellIs" dxfId="313" priority="73" operator="equal">
      <formula>5000</formula>
    </cfRule>
    <cfRule type="cellIs" dxfId="312" priority="74" operator="equal">
      <formula>5000</formula>
    </cfRule>
  </conditionalFormatting>
  <conditionalFormatting sqref="E7">
    <cfRule type="cellIs" dxfId="311" priority="71" operator="equal">
      <formula>5000</formula>
    </cfRule>
    <cfRule type="cellIs" dxfId="310" priority="72" operator="equal">
      <formula>5000</formula>
    </cfRule>
  </conditionalFormatting>
  <conditionalFormatting sqref="C24">
    <cfRule type="cellIs" dxfId="309" priority="69" operator="equal">
      <formula>5000</formula>
    </cfRule>
    <cfRule type="cellIs" dxfId="308" priority="70" operator="equal">
      <formula>5000</formula>
    </cfRule>
  </conditionalFormatting>
  <conditionalFormatting sqref="C25">
    <cfRule type="cellIs" dxfId="307" priority="67" operator="equal">
      <formula>5000</formula>
    </cfRule>
    <cfRule type="cellIs" dxfId="306" priority="68" operator="equal">
      <formula>5000</formula>
    </cfRule>
  </conditionalFormatting>
  <conditionalFormatting sqref="C26">
    <cfRule type="cellIs" dxfId="305" priority="65" operator="equal">
      <formula>5000</formula>
    </cfRule>
    <cfRule type="cellIs" dxfId="304" priority="66" operator="equal">
      <formula>5000</formula>
    </cfRule>
  </conditionalFormatting>
  <conditionalFormatting sqref="C27">
    <cfRule type="cellIs" dxfId="303" priority="63" operator="equal">
      <formula>5000</formula>
    </cfRule>
    <cfRule type="cellIs" dxfId="302" priority="64" operator="equal">
      <formula>5000</formula>
    </cfRule>
  </conditionalFormatting>
  <conditionalFormatting sqref="C30">
    <cfRule type="cellIs" dxfId="301" priority="61" operator="equal">
      <formula>5000</formula>
    </cfRule>
    <cfRule type="cellIs" dxfId="300" priority="62" operator="equal">
      <formula>5000</formula>
    </cfRule>
  </conditionalFormatting>
  <conditionalFormatting sqref="C32">
    <cfRule type="cellIs" dxfId="299" priority="59" operator="equal">
      <formula>5000</formula>
    </cfRule>
    <cfRule type="cellIs" dxfId="298" priority="60" operator="equal">
      <formula>5000</formula>
    </cfRule>
  </conditionalFormatting>
  <conditionalFormatting sqref="C34">
    <cfRule type="cellIs" dxfId="297" priority="57" operator="equal">
      <formula>5000</formula>
    </cfRule>
    <cfRule type="cellIs" dxfId="296" priority="58" operator="equal">
      <formula>5000</formula>
    </cfRule>
  </conditionalFormatting>
  <conditionalFormatting sqref="C37">
    <cfRule type="cellIs" dxfId="295" priority="55" operator="equal">
      <formula>5000</formula>
    </cfRule>
    <cfRule type="cellIs" dxfId="294" priority="56" operator="equal">
      <formula>5000</formula>
    </cfRule>
  </conditionalFormatting>
  <conditionalFormatting sqref="C39">
    <cfRule type="cellIs" dxfId="293" priority="53" operator="equal">
      <formula>5000</formula>
    </cfRule>
    <cfRule type="cellIs" dxfId="292" priority="54" operator="equal">
      <formula>5000</formula>
    </cfRule>
  </conditionalFormatting>
  <conditionalFormatting sqref="C42">
    <cfRule type="cellIs" dxfId="291" priority="51" operator="equal">
      <formula>5000</formula>
    </cfRule>
    <cfRule type="cellIs" dxfId="290" priority="52" operator="equal">
      <formula>5000</formula>
    </cfRule>
  </conditionalFormatting>
  <conditionalFormatting sqref="C43">
    <cfRule type="cellIs" dxfId="289" priority="49" operator="equal">
      <formula>5000</formula>
    </cfRule>
    <cfRule type="cellIs" dxfId="288" priority="50" operator="equal">
      <formula>5000</formula>
    </cfRule>
  </conditionalFormatting>
  <conditionalFormatting sqref="C47">
    <cfRule type="cellIs" dxfId="287" priority="47" operator="equal">
      <formula>5000</formula>
    </cfRule>
    <cfRule type="cellIs" dxfId="286" priority="48" operator="equal">
      <formula>5000</formula>
    </cfRule>
  </conditionalFormatting>
  <conditionalFormatting sqref="C54">
    <cfRule type="cellIs" dxfId="285" priority="45" operator="equal">
      <formula>5000</formula>
    </cfRule>
    <cfRule type="cellIs" dxfId="284" priority="46" operator="equal">
      <formula>5000</formula>
    </cfRule>
  </conditionalFormatting>
  <conditionalFormatting sqref="C58">
    <cfRule type="cellIs" dxfId="283" priority="43" operator="equal">
      <formula>5000</formula>
    </cfRule>
    <cfRule type="cellIs" dxfId="282" priority="44" operator="equal">
      <formula>5000</formula>
    </cfRule>
  </conditionalFormatting>
  <conditionalFormatting sqref="C59">
    <cfRule type="cellIs" dxfId="281" priority="41" operator="equal">
      <formula>5000</formula>
    </cfRule>
    <cfRule type="cellIs" dxfId="280" priority="42" operator="equal">
      <formula>5000</formula>
    </cfRule>
  </conditionalFormatting>
  <conditionalFormatting sqref="C60">
    <cfRule type="cellIs" dxfId="279" priority="39" operator="equal">
      <formula>5000</formula>
    </cfRule>
    <cfRule type="cellIs" dxfId="278" priority="40" operator="equal">
      <formula>5000</formula>
    </cfRule>
  </conditionalFormatting>
  <conditionalFormatting sqref="C61">
    <cfRule type="cellIs" dxfId="277" priority="37" operator="equal">
      <formula>5000</formula>
    </cfRule>
    <cfRule type="cellIs" dxfId="276" priority="38" operator="equal">
      <formula>5000</formula>
    </cfRule>
  </conditionalFormatting>
  <conditionalFormatting sqref="C63">
    <cfRule type="cellIs" dxfId="275" priority="35" operator="equal">
      <formula>5000</formula>
    </cfRule>
    <cfRule type="cellIs" dxfId="274" priority="36" operator="equal">
      <formula>5000</formula>
    </cfRule>
  </conditionalFormatting>
  <conditionalFormatting sqref="C66">
    <cfRule type="cellIs" dxfId="273" priority="33" operator="equal">
      <formula>5000</formula>
    </cfRule>
    <cfRule type="cellIs" dxfId="272" priority="34" operator="equal">
      <formula>5000</formula>
    </cfRule>
  </conditionalFormatting>
  <conditionalFormatting sqref="C69">
    <cfRule type="cellIs" dxfId="271" priority="31" operator="equal">
      <formula>5000</formula>
    </cfRule>
    <cfRule type="cellIs" dxfId="270" priority="32" operator="equal">
      <formula>5000</formula>
    </cfRule>
  </conditionalFormatting>
  <conditionalFormatting sqref="C70:C71">
    <cfRule type="cellIs" dxfId="269" priority="29" operator="equal">
      <formula>5000</formula>
    </cfRule>
    <cfRule type="cellIs" dxfId="268" priority="30" operator="equal">
      <formula>5000</formula>
    </cfRule>
  </conditionalFormatting>
  <conditionalFormatting sqref="C73">
    <cfRule type="cellIs" dxfId="267" priority="27" operator="equal">
      <formula>5000</formula>
    </cfRule>
    <cfRule type="cellIs" dxfId="266" priority="28" operator="equal">
      <formula>5000</formula>
    </cfRule>
  </conditionalFormatting>
  <conditionalFormatting sqref="C79">
    <cfRule type="cellIs" dxfId="265" priority="25" operator="equal">
      <formula>5000</formula>
    </cfRule>
    <cfRule type="cellIs" dxfId="264" priority="26" operator="equal">
      <formula>5000</formula>
    </cfRule>
  </conditionalFormatting>
  <conditionalFormatting sqref="C80">
    <cfRule type="cellIs" dxfId="263" priority="23" operator="equal">
      <formula>5000</formula>
    </cfRule>
    <cfRule type="cellIs" dxfId="262" priority="24" operator="equal">
      <formula>5000</formula>
    </cfRule>
  </conditionalFormatting>
  <conditionalFormatting sqref="C83">
    <cfRule type="cellIs" dxfId="261" priority="21" operator="equal">
      <formula>5000</formula>
    </cfRule>
    <cfRule type="cellIs" dxfId="260" priority="22" operator="equal">
      <formula>5000</formula>
    </cfRule>
  </conditionalFormatting>
  <conditionalFormatting sqref="C84">
    <cfRule type="cellIs" dxfId="259" priority="19" operator="equal">
      <formula>5000</formula>
    </cfRule>
    <cfRule type="cellIs" dxfId="258" priority="20" operator="equal">
      <formula>5000</formula>
    </cfRule>
  </conditionalFormatting>
  <conditionalFormatting sqref="C91">
    <cfRule type="cellIs" dxfId="257" priority="15" operator="equal">
      <formula>5000</formula>
    </cfRule>
    <cfRule type="cellIs" dxfId="256" priority="16" operator="equal">
      <formula>5000</formula>
    </cfRule>
  </conditionalFormatting>
  <conditionalFormatting sqref="C90">
    <cfRule type="cellIs" dxfId="255" priority="13" operator="equal">
      <formula>5000</formula>
    </cfRule>
    <cfRule type="cellIs" dxfId="254" priority="14" operator="equal">
      <formula>5000</formula>
    </cfRule>
  </conditionalFormatting>
  <conditionalFormatting sqref="C93">
    <cfRule type="cellIs" dxfId="253" priority="11" operator="equal">
      <formula>5000</formula>
    </cfRule>
    <cfRule type="cellIs" dxfId="252" priority="12" operator="equal">
      <formula>5000</formula>
    </cfRule>
  </conditionalFormatting>
  <conditionalFormatting sqref="C94">
    <cfRule type="cellIs" dxfId="251" priority="9" operator="equal">
      <formula>5000</formula>
    </cfRule>
    <cfRule type="cellIs" dxfId="250" priority="10" operator="equal">
      <formula>5000</formula>
    </cfRule>
  </conditionalFormatting>
  <conditionalFormatting sqref="C97">
    <cfRule type="cellIs" dxfId="249" priority="7" operator="equal">
      <formula>5000</formula>
    </cfRule>
    <cfRule type="cellIs" dxfId="248" priority="8" operator="equal">
      <formula>5000</formula>
    </cfRule>
  </conditionalFormatting>
  <conditionalFormatting sqref="C99">
    <cfRule type="cellIs" dxfId="247" priority="3" operator="equal">
      <formula>5000</formula>
    </cfRule>
    <cfRule type="cellIs" dxfId="246" priority="4" operator="equal">
      <formula>5000</formula>
    </cfRule>
  </conditionalFormatting>
  <conditionalFormatting sqref="C102">
    <cfRule type="cellIs" dxfId="245" priority="1" operator="equal">
      <formula>5000</formula>
    </cfRule>
    <cfRule type="cellIs" dxfId="244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topLeftCell="A64" workbookViewId="0">
      <selection activeCell="B98" sqref="B98"/>
    </sheetView>
  </sheetViews>
  <sheetFormatPr defaultRowHeight="13.5"/>
  <cols>
    <col min="1" max="1" width="6.5" style="1" customWidth="1"/>
    <col min="2" max="2" width="60" style="1" customWidth="1"/>
    <col min="3" max="3" width="12.75" style="2" bestFit="1" customWidth="1"/>
    <col min="4" max="4" width="52.875" style="3" customWidth="1"/>
    <col min="5" max="6" width="11.625" style="1" customWidth="1"/>
    <col min="7" max="16384" width="9" style="1"/>
  </cols>
  <sheetData>
    <row r="1" spans="1:4">
      <c r="A1" s="134" t="s">
        <v>631</v>
      </c>
      <c r="B1" s="134"/>
      <c r="C1" s="134"/>
    </row>
    <row r="2" spans="1:4">
      <c r="A2" s="4" t="s">
        <v>1</v>
      </c>
      <c r="B2" s="4" t="s">
        <v>2</v>
      </c>
      <c r="C2" s="5" t="s">
        <v>3</v>
      </c>
      <c r="D2" s="6"/>
    </row>
    <row r="3" spans="1:4">
      <c r="A3" s="135" t="s">
        <v>5</v>
      </c>
      <c r="B3" s="83" t="s">
        <v>633</v>
      </c>
      <c r="C3" s="8">
        <v>100</v>
      </c>
      <c r="D3" s="79" t="s">
        <v>632</v>
      </c>
    </row>
    <row r="4" spans="1:4">
      <c r="A4" s="136"/>
      <c r="B4" s="83" t="s">
        <v>640</v>
      </c>
      <c r="C4" s="8">
        <v>4963</v>
      </c>
      <c r="D4" s="79"/>
    </row>
    <row r="5" spans="1:4">
      <c r="A5" s="136"/>
      <c r="B5" s="84" t="s">
        <v>635</v>
      </c>
      <c r="C5" s="17">
        <v>12000</v>
      </c>
      <c r="D5" s="6" t="s">
        <v>634</v>
      </c>
    </row>
    <row r="6" spans="1:4">
      <c r="A6" s="136"/>
      <c r="B6" s="84" t="s">
        <v>637</v>
      </c>
      <c r="C6" s="17">
        <v>37900</v>
      </c>
      <c r="D6" s="85" t="s">
        <v>636</v>
      </c>
    </row>
    <row r="7" spans="1:4">
      <c r="A7" s="136"/>
      <c r="B7" s="97" t="s">
        <v>639</v>
      </c>
      <c r="C7" s="8">
        <v>8803.5</v>
      </c>
      <c r="D7" s="85" t="s">
        <v>581</v>
      </c>
    </row>
    <row r="8" spans="1:4">
      <c r="A8" s="136"/>
      <c r="B8" s="86" t="s">
        <v>642</v>
      </c>
      <c r="C8" s="8">
        <v>100</v>
      </c>
      <c r="D8" s="85" t="s">
        <v>632</v>
      </c>
    </row>
    <row r="9" spans="1:4">
      <c r="A9" s="136"/>
      <c r="B9" s="86" t="s">
        <v>641</v>
      </c>
      <c r="C9" s="8">
        <v>13380</v>
      </c>
      <c r="D9" s="79" t="s">
        <v>650</v>
      </c>
    </row>
    <row r="10" spans="1:4">
      <c r="A10" s="136"/>
      <c r="B10" s="87" t="s">
        <v>645</v>
      </c>
      <c r="C10" s="17">
        <v>362520</v>
      </c>
      <c r="D10" s="88" t="s">
        <v>644</v>
      </c>
    </row>
    <row r="11" spans="1:4">
      <c r="A11" s="136"/>
      <c r="B11" s="16" t="s">
        <v>660</v>
      </c>
      <c r="C11" s="17">
        <v>109737.37</v>
      </c>
      <c r="D11" s="88" t="s">
        <v>644</v>
      </c>
    </row>
    <row r="12" spans="1:4">
      <c r="A12" s="136"/>
      <c r="B12" s="87" t="s">
        <v>643</v>
      </c>
      <c r="C12" s="17">
        <v>207669.1</v>
      </c>
      <c r="D12" s="88" t="s">
        <v>644</v>
      </c>
    </row>
    <row r="13" spans="1:4">
      <c r="A13" s="136"/>
      <c r="B13" s="99" t="s">
        <v>646</v>
      </c>
      <c r="C13" s="8">
        <v>13039.4</v>
      </c>
      <c r="D13" s="85" t="s">
        <v>235</v>
      </c>
    </row>
    <row r="14" spans="1:4">
      <c r="A14" s="136"/>
      <c r="B14" s="100" t="s">
        <v>648</v>
      </c>
      <c r="C14" s="8">
        <v>21250</v>
      </c>
      <c r="D14" s="85" t="s">
        <v>235</v>
      </c>
    </row>
    <row r="15" spans="1:4">
      <c r="A15" s="135" t="s">
        <v>10</v>
      </c>
      <c r="B15" s="97" t="s">
        <v>649</v>
      </c>
      <c r="C15" s="8">
        <v>3986.5</v>
      </c>
      <c r="D15" s="70" t="s">
        <v>666</v>
      </c>
    </row>
    <row r="16" spans="1:4">
      <c r="A16" s="136"/>
      <c r="B16" s="101" t="s">
        <v>654</v>
      </c>
      <c r="C16" s="8">
        <v>1250</v>
      </c>
      <c r="D16" s="85" t="s">
        <v>484</v>
      </c>
    </row>
    <row r="17" spans="1:4">
      <c r="A17" s="135" t="s">
        <v>13</v>
      </c>
      <c r="B17" s="100" t="s">
        <v>673</v>
      </c>
      <c r="C17" s="8">
        <v>28925</v>
      </c>
      <c r="D17" s="85" t="s">
        <v>235</v>
      </c>
    </row>
    <row r="18" spans="1:4">
      <c r="A18" s="136"/>
      <c r="B18" s="97" t="s">
        <v>651</v>
      </c>
      <c r="C18" s="8">
        <v>5201.7</v>
      </c>
      <c r="D18" s="70" t="s">
        <v>666</v>
      </c>
    </row>
    <row r="19" spans="1:4">
      <c r="A19" s="136"/>
      <c r="B19" s="91" t="s">
        <v>652</v>
      </c>
      <c r="C19" s="92">
        <v>106650</v>
      </c>
      <c r="D19" s="93" t="s">
        <v>653</v>
      </c>
    </row>
    <row r="20" spans="1:4">
      <c r="A20" s="135" t="s">
        <v>23</v>
      </c>
      <c r="B20" s="91" t="s">
        <v>656</v>
      </c>
      <c r="C20" s="8">
        <v>33000</v>
      </c>
      <c r="D20" s="93" t="s">
        <v>655</v>
      </c>
    </row>
    <row r="21" spans="1:4">
      <c r="A21" s="136"/>
      <c r="B21" s="91" t="s">
        <v>657</v>
      </c>
      <c r="C21" s="92">
        <v>16027</v>
      </c>
      <c r="D21" s="70" t="s">
        <v>659</v>
      </c>
    </row>
    <row r="22" spans="1:4">
      <c r="A22" s="136"/>
      <c r="B22" s="91" t="s">
        <v>658</v>
      </c>
      <c r="C22" s="92">
        <v>28800</v>
      </c>
      <c r="D22" s="70" t="s">
        <v>659</v>
      </c>
    </row>
    <row r="23" spans="1:4">
      <c r="A23" s="136"/>
      <c r="B23" s="87" t="s">
        <v>661</v>
      </c>
      <c r="C23" s="8">
        <v>890704.2</v>
      </c>
      <c r="D23" s="79" t="s">
        <v>662</v>
      </c>
    </row>
    <row r="24" spans="1:4">
      <c r="A24" s="136"/>
      <c r="B24" s="83" t="s">
        <v>663</v>
      </c>
      <c r="C24" s="2">
        <v>13590</v>
      </c>
      <c r="D24" s="79" t="s">
        <v>664</v>
      </c>
    </row>
    <row r="25" spans="1:4">
      <c r="A25" s="136"/>
      <c r="B25" s="86" t="s">
        <v>548</v>
      </c>
      <c r="C25" s="8">
        <v>3790</v>
      </c>
      <c r="D25" s="70"/>
    </row>
    <row r="26" spans="1:4">
      <c r="A26" s="136"/>
      <c r="B26" s="97" t="s">
        <v>665</v>
      </c>
      <c r="C26" s="8">
        <v>6259.9</v>
      </c>
      <c r="D26" s="70" t="s">
        <v>666</v>
      </c>
    </row>
    <row r="27" spans="1:4">
      <c r="A27" s="136"/>
      <c r="B27" s="95" t="s">
        <v>667</v>
      </c>
      <c r="C27" s="8">
        <v>2285</v>
      </c>
      <c r="D27" s="77"/>
    </row>
    <row r="28" spans="1:4">
      <c r="A28" s="136"/>
      <c r="B28" s="125" t="s">
        <v>745</v>
      </c>
      <c r="C28" s="92">
        <v>24220</v>
      </c>
      <c r="D28" s="77" t="s">
        <v>586</v>
      </c>
    </row>
    <row r="29" spans="1:4">
      <c r="A29" s="136"/>
      <c r="B29" s="78" t="s">
        <v>617</v>
      </c>
      <c r="C29" s="17">
        <v>3235</v>
      </c>
      <c r="D29" s="93" t="s">
        <v>235</v>
      </c>
    </row>
    <row r="30" spans="1:4">
      <c r="A30" s="136"/>
      <c r="B30" s="96" t="s">
        <v>668</v>
      </c>
      <c r="C30" s="8">
        <v>500</v>
      </c>
      <c r="D30" s="93" t="s">
        <v>235</v>
      </c>
    </row>
    <row r="31" spans="1:4">
      <c r="A31" s="136"/>
      <c r="B31" s="102" t="s">
        <v>563</v>
      </c>
      <c r="C31" s="92">
        <v>17600</v>
      </c>
      <c r="D31" s="93" t="s">
        <v>235</v>
      </c>
    </row>
    <row r="32" spans="1:4">
      <c r="A32" s="135" t="s">
        <v>35</v>
      </c>
      <c r="B32" s="83" t="s">
        <v>669</v>
      </c>
      <c r="C32" s="8">
        <v>6530</v>
      </c>
      <c r="D32" s="79"/>
    </row>
    <row r="33" spans="1:5">
      <c r="A33" s="136"/>
      <c r="B33" s="7" t="s">
        <v>670</v>
      </c>
      <c r="C33" s="8">
        <v>6090</v>
      </c>
      <c r="D33" s="70"/>
    </row>
    <row r="34" spans="1:5">
      <c r="A34" s="136"/>
      <c r="B34" s="98" t="s">
        <v>671</v>
      </c>
      <c r="C34" s="8">
        <v>34731.339999999997</v>
      </c>
      <c r="D34" s="79"/>
    </row>
    <row r="35" spans="1:5">
      <c r="A35" s="136"/>
      <c r="B35" s="84" t="s">
        <v>672</v>
      </c>
      <c r="C35" s="8">
        <v>6009.5</v>
      </c>
      <c r="D35" s="79"/>
    </row>
    <row r="36" spans="1:5">
      <c r="A36" s="136"/>
      <c r="B36" s="97" t="s">
        <v>674</v>
      </c>
      <c r="C36" s="92">
        <v>6632.2</v>
      </c>
      <c r="D36" s="70" t="s">
        <v>666</v>
      </c>
    </row>
    <row r="37" spans="1:5">
      <c r="A37" s="139" t="s">
        <v>43</v>
      </c>
      <c r="B37" s="100" t="s">
        <v>675</v>
      </c>
      <c r="C37" s="92">
        <v>10550</v>
      </c>
      <c r="D37" s="129" t="s">
        <v>742</v>
      </c>
    </row>
    <row r="38" spans="1:5">
      <c r="A38" s="139"/>
      <c r="B38" s="100" t="s">
        <v>676</v>
      </c>
      <c r="C38" s="8">
        <v>4205.46</v>
      </c>
      <c r="D38" s="93" t="s">
        <v>235</v>
      </c>
    </row>
    <row r="39" spans="1:5">
      <c r="A39" s="139"/>
      <c r="B39" s="7" t="s">
        <v>677</v>
      </c>
      <c r="C39" s="8">
        <v>1800</v>
      </c>
      <c r="D39" s="93" t="s">
        <v>235</v>
      </c>
      <c r="E39" s="23"/>
    </row>
    <row r="40" spans="1:5">
      <c r="A40" s="139"/>
      <c r="B40" s="100" t="s">
        <v>710</v>
      </c>
      <c r="C40" s="92">
        <v>8780</v>
      </c>
      <c r="D40" s="93" t="s">
        <v>235</v>
      </c>
    </row>
    <row r="41" spans="1:5">
      <c r="A41" s="139"/>
      <c r="B41" s="97" t="s">
        <v>678</v>
      </c>
      <c r="C41" s="92">
        <v>2971.08</v>
      </c>
      <c r="D41" s="70" t="s">
        <v>666</v>
      </c>
    </row>
    <row r="42" spans="1:5">
      <c r="A42" s="139"/>
      <c r="B42" s="103" t="s">
        <v>679</v>
      </c>
      <c r="C42" s="92">
        <v>300</v>
      </c>
      <c r="D42" s="93" t="s">
        <v>632</v>
      </c>
    </row>
    <row r="43" spans="1:5">
      <c r="A43" s="139"/>
      <c r="B43" s="103" t="s">
        <v>680</v>
      </c>
      <c r="C43" s="92">
        <v>1950</v>
      </c>
      <c r="D43" s="105" t="s">
        <v>681</v>
      </c>
    </row>
    <row r="44" spans="1:5">
      <c r="A44" s="139"/>
      <c r="B44" s="103" t="s">
        <v>682</v>
      </c>
      <c r="C44" s="92">
        <v>1000</v>
      </c>
      <c r="D44" s="93" t="s">
        <v>235</v>
      </c>
    </row>
    <row r="45" spans="1:5">
      <c r="A45" s="135" t="s">
        <v>52</v>
      </c>
      <c r="B45" s="103" t="s">
        <v>683</v>
      </c>
      <c r="C45" s="8">
        <v>23525</v>
      </c>
      <c r="D45" s="77"/>
    </row>
    <row r="46" spans="1:5">
      <c r="A46" s="136"/>
      <c r="B46" s="94" t="s">
        <v>521</v>
      </c>
      <c r="C46" s="92">
        <v>9600</v>
      </c>
      <c r="D46" s="70"/>
    </row>
    <row r="47" spans="1:5">
      <c r="A47" s="136"/>
      <c r="B47" s="103" t="s">
        <v>684</v>
      </c>
      <c r="C47" s="8">
        <v>1350</v>
      </c>
      <c r="D47" s="77"/>
    </row>
    <row r="48" spans="1:5">
      <c r="A48" s="136"/>
      <c r="B48" s="96" t="s">
        <v>685</v>
      </c>
      <c r="C48" s="8">
        <v>8760</v>
      </c>
      <c r="D48" s="77"/>
    </row>
    <row r="49" spans="1:4">
      <c r="A49" s="136"/>
      <c r="B49" s="16" t="s">
        <v>687</v>
      </c>
      <c r="C49" s="92">
        <v>891004.2</v>
      </c>
      <c r="D49" s="104" t="s">
        <v>686</v>
      </c>
    </row>
    <row r="50" spans="1:4">
      <c r="A50" s="136"/>
      <c r="B50" s="103" t="s">
        <v>668</v>
      </c>
      <c r="C50" s="92">
        <v>500</v>
      </c>
      <c r="D50" s="104" t="s">
        <v>235</v>
      </c>
    </row>
    <row r="51" spans="1:4">
      <c r="A51" s="136"/>
      <c r="B51" s="7" t="s">
        <v>688</v>
      </c>
      <c r="C51" s="92">
        <v>8628.25</v>
      </c>
      <c r="D51" s="70" t="s">
        <v>689</v>
      </c>
    </row>
    <row r="52" spans="1:4">
      <c r="A52" s="136"/>
      <c r="B52" s="97" t="s">
        <v>690</v>
      </c>
      <c r="C52" s="92">
        <v>2779</v>
      </c>
      <c r="D52" s="70" t="s">
        <v>666</v>
      </c>
    </row>
    <row r="53" spans="1:4">
      <c r="A53" s="136"/>
      <c r="B53" s="94" t="s">
        <v>558</v>
      </c>
      <c r="C53" s="92">
        <v>35250</v>
      </c>
      <c r="D53" s="77" t="s">
        <v>557</v>
      </c>
    </row>
    <row r="54" spans="1:4">
      <c r="A54" s="136"/>
      <c r="B54" s="103" t="s">
        <v>691</v>
      </c>
      <c r="C54" s="92">
        <v>1425</v>
      </c>
      <c r="D54" s="77"/>
    </row>
    <row r="55" spans="1:4">
      <c r="A55" s="139" t="s">
        <v>63</v>
      </c>
      <c r="B55" s="109" t="s">
        <v>694</v>
      </c>
      <c r="C55" s="17">
        <v>9450</v>
      </c>
      <c r="D55" s="107" t="s">
        <v>693</v>
      </c>
    </row>
    <row r="56" spans="1:4">
      <c r="A56" s="139"/>
      <c r="B56" s="106" t="s">
        <v>692</v>
      </c>
      <c r="C56" s="17">
        <v>8550</v>
      </c>
      <c r="D56" s="107" t="s">
        <v>693</v>
      </c>
    </row>
    <row r="57" spans="1:4">
      <c r="A57" s="139"/>
      <c r="B57" s="106" t="s">
        <v>695</v>
      </c>
      <c r="C57" s="8">
        <v>10800</v>
      </c>
      <c r="D57" s="108" t="s">
        <v>696</v>
      </c>
    </row>
    <row r="58" spans="1:4">
      <c r="A58" s="139"/>
      <c r="B58" s="106" t="s">
        <v>698</v>
      </c>
      <c r="C58" s="92">
        <v>10380</v>
      </c>
      <c r="D58" s="107" t="s">
        <v>697</v>
      </c>
    </row>
    <row r="59" spans="1:4">
      <c r="A59" s="139"/>
      <c r="B59" s="97" t="s">
        <v>699</v>
      </c>
      <c r="C59" s="92">
        <v>5287</v>
      </c>
      <c r="D59" s="70" t="s">
        <v>666</v>
      </c>
    </row>
    <row r="60" spans="1:4">
      <c r="A60" s="139"/>
      <c r="B60" s="109" t="s">
        <v>700</v>
      </c>
      <c r="C60" s="17">
        <v>42898</v>
      </c>
      <c r="D60" s="107" t="s">
        <v>592</v>
      </c>
    </row>
    <row r="61" spans="1:4">
      <c r="A61" s="139"/>
      <c r="B61" s="109" t="s">
        <v>701</v>
      </c>
      <c r="C61" s="8">
        <v>37900</v>
      </c>
      <c r="D61" s="111" t="s">
        <v>702</v>
      </c>
    </row>
    <row r="62" spans="1:4">
      <c r="A62" s="139"/>
      <c r="B62" s="110" t="s">
        <v>703</v>
      </c>
      <c r="C62" s="92">
        <v>880</v>
      </c>
      <c r="D62" s="77"/>
    </row>
    <row r="63" spans="1:4">
      <c r="A63" s="136" t="s">
        <v>75</v>
      </c>
      <c r="B63" s="101" t="s">
        <v>654</v>
      </c>
      <c r="C63" s="92">
        <v>11020</v>
      </c>
      <c r="D63" s="112" t="s">
        <v>704</v>
      </c>
    </row>
    <row r="64" spans="1:4">
      <c r="A64" s="136"/>
      <c r="B64" s="101" t="s">
        <v>654</v>
      </c>
      <c r="C64" s="113">
        <v>20979.14</v>
      </c>
      <c r="D64" s="112" t="s">
        <v>705</v>
      </c>
    </row>
    <row r="65" spans="1:4">
      <c r="A65" s="136"/>
      <c r="B65" s="114" t="s">
        <v>707</v>
      </c>
      <c r="C65" s="8">
        <v>2800</v>
      </c>
      <c r="D65" s="70"/>
    </row>
    <row r="66" spans="1:4">
      <c r="A66" s="136"/>
      <c r="B66" s="97" t="s">
        <v>706</v>
      </c>
      <c r="C66" s="8">
        <v>3304.5</v>
      </c>
      <c r="D66" s="70" t="s">
        <v>666</v>
      </c>
    </row>
    <row r="67" spans="1:4">
      <c r="A67" s="136"/>
      <c r="B67" s="115" t="s">
        <v>708</v>
      </c>
      <c r="C67" s="92">
        <v>10815</v>
      </c>
      <c r="D67" s="70"/>
    </row>
    <row r="68" spans="1:4">
      <c r="A68" s="136"/>
      <c r="B68" s="114" t="s">
        <v>709</v>
      </c>
      <c r="C68" s="8">
        <v>300</v>
      </c>
      <c r="D68" s="111" t="s">
        <v>235</v>
      </c>
    </row>
    <row r="69" spans="1:4">
      <c r="A69" s="136"/>
      <c r="B69" s="100" t="s">
        <v>711</v>
      </c>
      <c r="C69" s="8">
        <v>4636</v>
      </c>
      <c r="D69" s="111" t="s">
        <v>712</v>
      </c>
    </row>
    <row r="70" spans="1:4">
      <c r="A70" s="139" t="s">
        <v>97</v>
      </c>
      <c r="B70" s="83" t="s">
        <v>713</v>
      </c>
      <c r="C70" s="8">
        <v>680</v>
      </c>
      <c r="D70" s="111" t="s">
        <v>714</v>
      </c>
    </row>
    <row r="71" spans="1:4">
      <c r="A71" s="139"/>
      <c r="B71" s="16" t="s">
        <v>716</v>
      </c>
      <c r="C71" s="92">
        <v>891004.2</v>
      </c>
      <c r="D71" s="111" t="s">
        <v>715</v>
      </c>
    </row>
    <row r="72" spans="1:4">
      <c r="A72" s="139"/>
      <c r="B72" s="115" t="s">
        <v>601</v>
      </c>
      <c r="C72" s="92">
        <v>2000</v>
      </c>
      <c r="D72" s="70"/>
    </row>
    <row r="73" spans="1:4">
      <c r="A73" s="139"/>
      <c r="B73" s="7" t="s">
        <v>717</v>
      </c>
      <c r="C73" s="17">
        <v>500</v>
      </c>
      <c r="D73" s="111" t="s">
        <v>515</v>
      </c>
    </row>
    <row r="74" spans="1:4">
      <c r="A74" s="139"/>
      <c r="B74" s="106" t="s">
        <v>719</v>
      </c>
      <c r="C74" s="8">
        <v>29500</v>
      </c>
      <c r="D74" s="77" t="s">
        <v>720</v>
      </c>
    </row>
    <row r="75" spans="1:4">
      <c r="A75" s="139"/>
      <c r="B75" s="83" t="s">
        <v>721</v>
      </c>
      <c r="C75" s="8">
        <v>370</v>
      </c>
      <c r="D75" s="77" t="s">
        <v>722</v>
      </c>
    </row>
    <row r="76" spans="1:4">
      <c r="A76" s="139"/>
      <c r="B76" s="106" t="s">
        <v>723</v>
      </c>
      <c r="C76" s="92">
        <v>18500</v>
      </c>
      <c r="D76" s="70"/>
    </row>
    <row r="77" spans="1:4">
      <c r="A77" s="139"/>
      <c r="B77" s="120" t="s">
        <v>725</v>
      </c>
      <c r="C77" s="92">
        <v>3713</v>
      </c>
      <c r="D77" s="70" t="s">
        <v>724</v>
      </c>
    </row>
    <row r="78" spans="1:4">
      <c r="A78" s="139"/>
      <c r="B78" s="97" t="s">
        <v>726</v>
      </c>
      <c r="C78" s="92">
        <v>3951</v>
      </c>
      <c r="D78" s="70" t="s">
        <v>666</v>
      </c>
    </row>
    <row r="79" spans="1:4">
      <c r="A79" s="139"/>
      <c r="B79" s="83" t="s">
        <v>727</v>
      </c>
      <c r="C79" s="8">
        <v>3000</v>
      </c>
      <c r="D79" s="77"/>
    </row>
    <row r="80" spans="1:4">
      <c r="A80" s="136" t="s">
        <v>209</v>
      </c>
      <c r="B80" s="116" t="s">
        <v>730</v>
      </c>
      <c r="C80" s="8">
        <v>2230</v>
      </c>
      <c r="D80" s="117" t="s">
        <v>728</v>
      </c>
    </row>
    <row r="81" spans="1:4">
      <c r="A81" s="136"/>
      <c r="B81" s="119" t="s">
        <v>731</v>
      </c>
      <c r="C81" s="8">
        <v>500</v>
      </c>
      <c r="D81" s="117" t="s">
        <v>729</v>
      </c>
    </row>
    <row r="82" spans="1:4">
      <c r="A82" s="136"/>
      <c r="B82" s="118" t="s">
        <v>732</v>
      </c>
      <c r="C82" s="92">
        <v>99000</v>
      </c>
      <c r="D82" s="111" t="s">
        <v>596</v>
      </c>
    </row>
    <row r="83" spans="1:4">
      <c r="A83" s="136"/>
      <c r="B83" s="120" t="s">
        <v>733</v>
      </c>
      <c r="C83" s="8">
        <v>2698</v>
      </c>
      <c r="D83" s="77"/>
    </row>
    <row r="84" spans="1:4">
      <c r="A84" s="136"/>
      <c r="B84" s="121" t="s">
        <v>734</v>
      </c>
      <c r="C84" s="92">
        <v>3859.4</v>
      </c>
      <c r="D84" s="70" t="s">
        <v>666</v>
      </c>
    </row>
    <row r="85" spans="1:4">
      <c r="A85" s="136"/>
      <c r="B85" s="122" t="s">
        <v>736</v>
      </c>
      <c r="C85" s="123" t="s">
        <v>735</v>
      </c>
      <c r="D85" s="70"/>
    </row>
    <row r="86" spans="1:4">
      <c r="A86" s="136"/>
      <c r="B86" s="125" t="s">
        <v>738</v>
      </c>
      <c r="C86" s="92">
        <v>35250</v>
      </c>
      <c r="D86" s="124" t="s">
        <v>737</v>
      </c>
    </row>
    <row r="87" spans="1:4">
      <c r="A87" s="136"/>
      <c r="B87" s="130" t="s">
        <v>739</v>
      </c>
      <c r="C87" s="92">
        <v>5000</v>
      </c>
      <c r="D87" s="126" t="s">
        <v>740</v>
      </c>
    </row>
    <row r="88" spans="1:4" ht="45" customHeight="1">
      <c r="A88" s="135" t="s">
        <v>112</v>
      </c>
      <c r="B88" s="120" t="s">
        <v>743</v>
      </c>
      <c r="C88" s="92">
        <v>149979.82</v>
      </c>
      <c r="D88" s="127" t="s">
        <v>741</v>
      </c>
    </row>
    <row r="89" spans="1:4">
      <c r="A89" s="136"/>
      <c r="B89" s="128" t="s">
        <v>744</v>
      </c>
      <c r="C89" s="92">
        <v>6017.2</v>
      </c>
      <c r="D89" s="111" t="s">
        <v>712</v>
      </c>
    </row>
    <row r="90" spans="1:4">
      <c r="A90" s="136"/>
      <c r="B90" s="130" t="s">
        <v>746</v>
      </c>
      <c r="C90" s="17">
        <v>42898</v>
      </c>
      <c r="D90" s="107" t="s">
        <v>592</v>
      </c>
    </row>
    <row r="91" spans="1:4">
      <c r="A91" s="136"/>
      <c r="B91" s="121" t="s">
        <v>747</v>
      </c>
      <c r="C91" s="92">
        <v>1440</v>
      </c>
      <c r="D91" s="70" t="s">
        <v>666</v>
      </c>
    </row>
    <row r="92" spans="1:4">
      <c r="A92" s="136"/>
      <c r="B92" s="130" t="s">
        <v>748</v>
      </c>
      <c r="C92" s="92">
        <v>79500</v>
      </c>
      <c r="D92" s="77"/>
    </row>
    <row r="93" spans="1:4">
      <c r="A93" s="136"/>
      <c r="B93" s="7" t="s">
        <v>749</v>
      </c>
      <c r="C93" s="8">
        <v>4000</v>
      </c>
      <c r="D93" s="70"/>
    </row>
    <row r="94" spans="1:4">
      <c r="A94" s="136"/>
      <c r="B94" s="7" t="s">
        <v>750</v>
      </c>
      <c r="C94" s="8">
        <v>400</v>
      </c>
      <c r="D94" s="70"/>
    </row>
    <row r="95" spans="1:4">
      <c r="A95" s="136"/>
      <c r="B95" s="125" t="s">
        <v>752</v>
      </c>
      <c r="C95" s="92">
        <v>10800</v>
      </c>
      <c r="D95" s="126" t="s">
        <v>751</v>
      </c>
    </row>
    <row r="96" spans="1:4">
      <c r="A96" s="136"/>
      <c r="B96" s="83" t="s">
        <v>753</v>
      </c>
      <c r="C96" s="8">
        <v>500</v>
      </c>
      <c r="D96" s="77" t="s">
        <v>754</v>
      </c>
    </row>
    <row r="97" spans="1:5">
      <c r="A97" s="136"/>
      <c r="B97" s="98" t="s">
        <v>755</v>
      </c>
      <c r="C97" s="8">
        <v>45131.5</v>
      </c>
      <c r="D97" s="70"/>
      <c r="E97" s="23"/>
    </row>
    <row r="98" spans="1:5">
      <c r="A98" s="136"/>
      <c r="B98" s="133" t="s">
        <v>756</v>
      </c>
      <c r="C98" s="8">
        <v>19700</v>
      </c>
      <c r="D98" s="77"/>
      <c r="E98" s="23"/>
    </row>
    <row r="99" spans="1:5">
      <c r="A99" s="136"/>
      <c r="B99" s="7"/>
      <c r="C99" s="92"/>
      <c r="D99" s="33"/>
      <c r="E99" s="23"/>
    </row>
    <row r="100" spans="1:5">
      <c r="A100" s="136"/>
      <c r="B100" s="7"/>
      <c r="C100" s="92"/>
      <c r="D100" s="79"/>
    </row>
    <row r="101" spans="1:5">
      <c r="A101" s="82" t="s">
        <v>129</v>
      </c>
      <c r="B101" s="27"/>
      <c r="C101" s="8"/>
      <c r="D101" s="6"/>
    </row>
    <row r="105" spans="1:5">
      <c r="C105" s="2">
        <f>SUBTOTAL(9,C5:C95)</f>
        <v>4623584.9600000009</v>
      </c>
    </row>
    <row r="106" spans="1:5">
      <c r="C106" s="2">
        <f>SUBTOTAL(9,C3:C105)</f>
        <v>4693979.4600000009</v>
      </c>
    </row>
    <row r="107" spans="1:5">
      <c r="C107" s="2">
        <f>SUBTOTAL(9,C10:C71)</f>
        <v>4046295.04</v>
      </c>
    </row>
    <row r="108" spans="1:5">
      <c r="C108" s="2">
        <f>SUBTOTAL(9,C3:C107)</f>
        <v>4693979.4600000009</v>
      </c>
    </row>
    <row r="109" spans="1:5">
      <c r="C109" s="2">
        <f>SUBTOTAL(9,C34:C97)</f>
        <v>2684172.7899999996</v>
      </c>
    </row>
    <row r="110" spans="1:5">
      <c r="C110" s="2">
        <f>SUBTOTAL(9,C3:C109)</f>
        <v>4693979.4600000009</v>
      </c>
    </row>
    <row r="111" spans="1:5">
      <c r="C111" s="2">
        <f>SUBTOTAL(9,C34:C97)</f>
        <v>2684172.7899999996</v>
      </c>
    </row>
    <row r="112" spans="1:5">
      <c r="C112" s="2">
        <f>SUBTOTAL(9,C3:C111)</f>
        <v>4693979.4600000009</v>
      </c>
    </row>
    <row r="113" spans="3:3">
      <c r="C113" s="2">
        <v>87547</v>
      </c>
    </row>
    <row r="114" spans="3:3">
      <c r="C114" s="2">
        <f>C112-C113</f>
        <v>4606432.4600000009</v>
      </c>
    </row>
  </sheetData>
  <autoFilter ref="B1:B114"/>
  <mergeCells count="13">
    <mergeCell ref="A88:A100"/>
    <mergeCell ref="A37:A44"/>
    <mergeCell ref="A45:A54"/>
    <mergeCell ref="A55:A62"/>
    <mergeCell ref="A63:A69"/>
    <mergeCell ref="A70:A79"/>
    <mergeCell ref="A80:A87"/>
    <mergeCell ref="A1:C1"/>
    <mergeCell ref="A3:A14"/>
    <mergeCell ref="A15:A16"/>
    <mergeCell ref="A17:A19"/>
    <mergeCell ref="A20:A31"/>
    <mergeCell ref="A32:A36"/>
  </mergeCells>
  <phoneticPr fontId="19" type="noConversion"/>
  <conditionalFormatting sqref="C97:C101">
    <cfRule type="cellIs" dxfId="243" priority="327" operator="equal">
      <formula>5000</formula>
    </cfRule>
    <cfRule type="cellIs" dxfId="242" priority="328" operator="equal">
      <formula>5000</formula>
    </cfRule>
  </conditionalFormatting>
  <conditionalFormatting sqref="C1:C2 C102:C65536">
    <cfRule type="cellIs" dxfId="241" priority="339" operator="equal">
      <formula>5000</formula>
    </cfRule>
    <cfRule type="cellIs" dxfId="240" priority="340" operator="equal">
      <formula>5000</formula>
    </cfRule>
  </conditionalFormatting>
  <conditionalFormatting sqref="C3:C4">
    <cfRule type="cellIs" dxfId="239" priority="211" operator="equal">
      <formula>5000</formula>
    </cfRule>
    <cfRule type="cellIs" dxfId="238" priority="212" operator="equal">
      <formula>5000</formula>
    </cfRule>
  </conditionalFormatting>
  <conditionalFormatting sqref="C7 C9">
    <cfRule type="cellIs" dxfId="237" priority="209" operator="equal">
      <formula>5000</formula>
    </cfRule>
    <cfRule type="cellIs" dxfId="236" priority="210" operator="equal">
      <formula>5000</formula>
    </cfRule>
  </conditionalFormatting>
  <conditionalFormatting sqref="C13:C15">
    <cfRule type="cellIs" dxfId="235" priority="205" operator="equal">
      <formula>5000</formula>
    </cfRule>
    <cfRule type="cellIs" dxfId="234" priority="206" operator="equal">
      <formula>5000</formula>
    </cfRule>
  </conditionalFormatting>
  <conditionalFormatting sqref="C18">
    <cfRule type="cellIs" dxfId="233" priority="201" operator="equal">
      <formula>5000</formula>
    </cfRule>
    <cfRule type="cellIs" dxfId="232" priority="202" operator="equal">
      <formula>5000</formula>
    </cfRule>
  </conditionalFormatting>
  <conditionalFormatting sqref="C20">
    <cfRule type="cellIs" dxfId="231" priority="195" operator="equal">
      <formula>5000</formula>
    </cfRule>
    <cfRule type="cellIs" dxfId="230" priority="196" operator="equal">
      <formula>5000</formula>
    </cfRule>
  </conditionalFormatting>
  <conditionalFormatting sqref="C23 C30 C25:C27">
    <cfRule type="cellIs" dxfId="229" priority="193" operator="equal">
      <formula>5000</formula>
    </cfRule>
    <cfRule type="cellIs" dxfId="228" priority="194" operator="equal">
      <formula>5000</formula>
    </cfRule>
  </conditionalFormatting>
  <conditionalFormatting sqref="C32:C33">
    <cfRule type="cellIs" dxfId="227" priority="187" operator="equal">
      <formula>5000</formula>
    </cfRule>
    <cfRule type="cellIs" dxfId="226" priority="188" operator="equal">
      <formula>5000</formula>
    </cfRule>
  </conditionalFormatting>
  <conditionalFormatting sqref="C34:C35">
    <cfRule type="cellIs" dxfId="225" priority="185" operator="equal">
      <formula>5000</formula>
    </cfRule>
    <cfRule type="cellIs" dxfId="224" priority="186" operator="equal">
      <formula>5000</formula>
    </cfRule>
  </conditionalFormatting>
  <conditionalFormatting sqref="C42:C44">
    <cfRule type="cellIs" dxfId="223" priority="179" operator="equal">
      <formula>5000</formula>
    </cfRule>
    <cfRule type="cellIs" dxfId="222" priority="180" operator="equal">
      <formula>5000</formula>
    </cfRule>
  </conditionalFormatting>
  <conditionalFormatting sqref="C38">
    <cfRule type="cellIs" dxfId="221" priority="177" operator="equal">
      <formula>5000</formula>
    </cfRule>
    <cfRule type="cellIs" dxfId="220" priority="178" operator="equal">
      <formula>5000</formula>
    </cfRule>
  </conditionalFormatting>
  <conditionalFormatting sqref="C39">
    <cfRule type="cellIs" dxfId="219" priority="175" operator="equal">
      <formula>5000</formula>
    </cfRule>
    <cfRule type="cellIs" dxfId="218" priority="176" operator="equal">
      <formula>5000</formula>
    </cfRule>
  </conditionalFormatting>
  <conditionalFormatting sqref="C45">
    <cfRule type="cellIs" dxfId="217" priority="173" operator="equal">
      <formula>5000</formula>
    </cfRule>
    <cfRule type="cellIs" dxfId="216" priority="174" operator="equal">
      <formula>5000</formula>
    </cfRule>
  </conditionalFormatting>
  <conditionalFormatting sqref="C47">
    <cfRule type="cellIs" dxfId="215" priority="167" operator="equal">
      <formula>5000</formula>
    </cfRule>
    <cfRule type="cellIs" dxfId="214" priority="168" operator="equal">
      <formula>5000</formula>
    </cfRule>
  </conditionalFormatting>
  <conditionalFormatting sqref="C48">
    <cfRule type="cellIs" dxfId="213" priority="161" operator="equal">
      <formula>5000</formula>
    </cfRule>
    <cfRule type="cellIs" dxfId="212" priority="162" operator="equal">
      <formula>5000</formula>
    </cfRule>
  </conditionalFormatting>
  <conditionalFormatting sqref="C57">
    <cfRule type="cellIs" dxfId="211" priority="151" operator="equal">
      <formula>5000</formula>
    </cfRule>
    <cfRule type="cellIs" dxfId="210" priority="152" operator="equal">
      <formula>5000</formula>
    </cfRule>
  </conditionalFormatting>
  <conditionalFormatting sqref="C61:C62">
    <cfRule type="cellIs" dxfId="209" priority="149" operator="equal">
      <formula>5000</formula>
    </cfRule>
    <cfRule type="cellIs" dxfId="208" priority="150" operator="equal">
      <formula>5000</formula>
    </cfRule>
  </conditionalFormatting>
  <conditionalFormatting sqref="C65">
    <cfRule type="cellIs" dxfId="207" priority="139" operator="equal">
      <formula>5000</formula>
    </cfRule>
    <cfRule type="cellIs" dxfId="206" priority="140" operator="equal">
      <formula>5000</formula>
    </cfRule>
  </conditionalFormatting>
  <conditionalFormatting sqref="C66 C69">
    <cfRule type="cellIs" dxfId="205" priority="137" operator="equal">
      <formula>5000</formula>
    </cfRule>
    <cfRule type="cellIs" dxfId="204" priority="138" operator="equal">
      <formula>5000</formula>
    </cfRule>
  </conditionalFormatting>
  <conditionalFormatting sqref="C68">
    <cfRule type="cellIs" dxfId="203" priority="133" operator="equal">
      <formula>5000</formula>
    </cfRule>
    <cfRule type="cellIs" dxfId="202" priority="134" operator="equal">
      <formula>5000</formula>
    </cfRule>
  </conditionalFormatting>
  <conditionalFormatting sqref="C70 C74">
    <cfRule type="cellIs" dxfId="201" priority="131" operator="equal">
      <formula>5000</formula>
    </cfRule>
    <cfRule type="cellIs" dxfId="200" priority="132" operator="equal">
      <formula>5000</formula>
    </cfRule>
  </conditionalFormatting>
  <conditionalFormatting sqref="C75">
    <cfRule type="cellIs" dxfId="199" priority="125" operator="equal">
      <formula>5000</formula>
    </cfRule>
    <cfRule type="cellIs" dxfId="198" priority="126" operator="equal">
      <formula>5000</formula>
    </cfRule>
  </conditionalFormatting>
  <conditionalFormatting sqref="C79 C83">
    <cfRule type="cellIs" dxfId="197" priority="119" operator="equal">
      <formula>5000</formula>
    </cfRule>
    <cfRule type="cellIs" dxfId="196" priority="120" operator="equal">
      <formula>5000</formula>
    </cfRule>
  </conditionalFormatting>
  <conditionalFormatting sqref="C80">
    <cfRule type="cellIs" dxfId="195" priority="117" operator="equal">
      <formula>5000</formula>
    </cfRule>
    <cfRule type="cellIs" dxfId="194" priority="118" operator="equal">
      <formula>5000</formula>
    </cfRule>
  </conditionalFormatting>
  <conditionalFormatting sqref="C81">
    <cfRule type="cellIs" dxfId="193" priority="115" operator="equal">
      <formula>5000</formula>
    </cfRule>
    <cfRule type="cellIs" dxfId="192" priority="116" operator="equal">
      <formula>5000</formula>
    </cfRule>
  </conditionalFormatting>
  <conditionalFormatting sqref="C88">
    <cfRule type="cellIs" dxfId="191" priority="113" operator="equal">
      <formula>5000</formula>
    </cfRule>
    <cfRule type="cellIs" dxfId="190" priority="114" operator="equal">
      <formula>5000</formula>
    </cfRule>
  </conditionalFormatting>
  <conditionalFormatting sqref="C96">
    <cfRule type="cellIs" dxfId="189" priority="101" operator="equal">
      <formula>5000</formula>
    </cfRule>
    <cfRule type="cellIs" dxfId="188" priority="102" operator="equal">
      <formula>5000</formula>
    </cfRule>
  </conditionalFormatting>
  <conditionalFormatting sqref="C93">
    <cfRule type="cellIs" dxfId="187" priority="99" operator="equal">
      <formula>5000</formula>
    </cfRule>
    <cfRule type="cellIs" dxfId="186" priority="100" operator="equal">
      <formula>5000</formula>
    </cfRule>
  </conditionalFormatting>
  <conditionalFormatting sqref="C94">
    <cfRule type="cellIs" dxfId="185" priority="97" operator="equal">
      <formula>5000</formula>
    </cfRule>
    <cfRule type="cellIs" dxfId="184" priority="98" operator="equal">
      <formula>5000</formula>
    </cfRule>
  </conditionalFormatting>
  <conditionalFormatting sqref="C5">
    <cfRule type="cellIs" dxfId="183" priority="95" operator="equal">
      <formula>5000</formula>
    </cfRule>
    <cfRule type="cellIs" dxfId="182" priority="96" operator="equal">
      <formula>5000</formula>
    </cfRule>
  </conditionalFormatting>
  <conditionalFormatting sqref="C6">
    <cfRule type="cellIs" dxfId="181" priority="93" operator="equal">
      <formula>5000</formula>
    </cfRule>
    <cfRule type="cellIs" dxfId="180" priority="94" operator="equal">
      <formula>5000</formula>
    </cfRule>
  </conditionalFormatting>
  <conditionalFormatting sqref="C8">
    <cfRule type="cellIs" dxfId="179" priority="91" operator="equal">
      <formula>5000</formula>
    </cfRule>
    <cfRule type="cellIs" dxfId="178" priority="92" operator="equal">
      <formula>5000</formula>
    </cfRule>
  </conditionalFormatting>
  <conditionalFormatting sqref="C10:C12">
    <cfRule type="cellIs" dxfId="177" priority="89" operator="equal">
      <formula>5000</formula>
    </cfRule>
    <cfRule type="cellIs" dxfId="176" priority="90" operator="equal">
      <formula>5000</formula>
    </cfRule>
  </conditionalFormatting>
  <conditionalFormatting sqref="C17">
    <cfRule type="cellIs" dxfId="175" priority="85" operator="equal">
      <formula>5000</formula>
    </cfRule>
    <cfRule type="cellIs" dxfId="174" priority="86" operator="equal">
      <formula>5000</formula>
    </cfRule>
  </conditionalFormatting>
  <conditionalFormatting sqref="C19">
    <cfRule type="cellIs" dxfId="173" priority="83" operator="equal">
      <formula>5000</formula>
    </cfRule>
    <cfRule type="cellIs" dxfId="172" priority="84" operator="equal">
      <formula>5000</formula>
    </cfRule>
  </conditionalFormatting>
  <conditionalFormatting sqref="C16">
    <cfRule type="cellIs" dxfId="171" priority="79" operator="equal">
      <formula>5000</formula>
    </cfRule>
    <cfRule type="cellIs" dxfId="170" priority="80" operator="equal">
      <formula>5000</formula>
    </cfRule>
  </conditionalFormatting>
  <conditionalFormatting sqref="C21">
    <cfRule type="cellIs" dxfId="169" priority="75" operator="equal">
      <formula>5000</formula>
    </cfRule>
    <cfRule type="cellIs" dxfId="168" priority="76" operator="equal">
      <formula>5000</formula>
    </cfRule>
  </conditionalFormatting>
  <conditionalFormatting sqref="C22">
    <cfRule type="cellIs" dxfId="167" priority="73" operator="equal">
      <formula>5000</formula>
    </cfRule>
    <cfRule type="cellIs" dxfId="166" priority="74" operator="equal">
      <formula>5000</formula>
    </cfRule>
  </conditionalFormatting>
  <conditionalFormatting sqref="C28">
    <cfRule type="cellIs" dxfId="165" priority="71" operator="equal">
      <formula>5000</formula>
    </cfRule>
    <cfRule type="cellIs" dxfId="164" priority="72" operator="equal">
      <formula>5000</formula>
    </cfRule>
  </conditionalFormatting>
  <conditionalFormatting sqref="C29">
    <cfRule type="cellIs" dxfId="163" priority="69" operator="equal">
      <formula>5000</formula>
    </cfRule>
    <cfRule type="cellIs" dxfId="162" priority="70" operator="equal">
      <formula>5000</formula>
    </cfRule>
  </conditionalFormatting>
  <conditionalFormatting sqref="C31">
    <cfRule type="cellIs" dxfId="161" priority="67" operator="equal">
      <formula>5000</formula>
    </cfRule>
    <cfRule type="cellIs" dxfId="160" priority="68" operator="equal">
      <formula>5000</formula>
    </cfRule>
  </conditionalFormatting>
  <conditionalFormatting sqref="C37">
    <cfRule type="cellIs" dxfId="159" priority="63" operator="equal">
      <formula>5000</formula>
    </cfRule>
    <cfRule type="cellIs" dxfId="158" priority="64" operator="equal">
      <formula>5000</formula>
    </cfRule>
  </conditionalFormatting>
  <conditionalFormatting sqref="C36">
    <cfRule type="cellIs" dxfId="157" priority="61" operator="equal">
      <formula>5000</formula>
    </cfRule>
    <cfRule type="cellIs" dxfId="156" priority="62" operator="equal">
      <formula>5000</formula>
    </cfRule>
  </conditionalFormatting>
  <conditionalFormatting sqref="C40">
    <cfRule type="cellIs" dxfId="155" priority="59" operator="equal">
      <formula>5000</formula>
    </cfRule>
    <cfRule type="cellIs" dxfId="154" priority="60" operator="equal">
      <formula>5000</formula>
    </cfRule>
  </conditionalFormatting>
  <conditionalFormatting sqref="C41">
    <cfRule type="cellIs" dxfId="153" priority="57" operator="equal">
      <formula>5000</formula>
    </cfRule>
    <cfRule type="cellIs" dxfId="152" priority="58" operator="equal">
      <formula>5000</formula>
    </cfRule>
  </conditionalFormatting>
  <conditionalFormatting sqref="C46">
    <cfRule type="cellIs" dxfId="151" priority="55" operator="equal">
      <formula>5000</formula>
    </cfRule>
    <cfRule type="cellIs" dxfId="150" priority="56" operator="equal">
      <formula>5000</formula>
    </cfRule>
  </conditionalFormatting>
  <conditionalFormatting sqref="C49">
    <cfRule type="cellIs" dxfId="149" priority="53" operator="equal">
      <formula>5000</formula>
    </cfRule>
    <cfRule type="cellIs" dxfId="148" priority="54" operator="equal">
      <formula>5000</formula>
    </cfRule>
  </conditionalFormatting>
  <conditionalFormatting sqref="C50">
    <cfRule type="cellIs" dxfId="147" priority="51" operator="equal">
      <formula>5000</formula>
    </cfRule>
    <cfRule type="cellIs" dxfId="146" priority="52" operator="equal">
      <formula>5000</formula>
    </cfRule>
  </conditionalFormatting>
  <conditionalFormatting sqref="C51">
    <cfRule type="cellIs" dxfId="145" priority="49" operator="equal">
      <formula>5000</formula>
    </cfRule>
    <cfRule type="cellIs" dxfId="144" priority="50" operator="equal">
      <formula>5000</formula>
    </cfRule>
  </conditionalFormatting>
  <conditionalFormatting sqref="C52">
    <cfRule type="cellIs" dxfId="143" priority="45" operator="equal">
      <formula>5000</formula>
    </cfRule>
    <cfRule type="cellIs" dxfId="142" priority="46" operator="equal">
      <formula>5000</formula>
    </cfRule>
  </conditionalFormatting>
  <conditionalFormatting sqref="C53:C54">
    <cfRule type="cellIs" dxfId="141" priority="43" operator="equal">
      <formula>5000</formula>
    </cfRule>
    <cfRule type="cellIs" dxfId="140" priority="44" operator="equal">
      <formula>5000</formula>
    </cfRule>
  </conditionalFormatting>
  <conditionalFormatting sqref="C55">
    <cfRule type="cellIs" dxfId="139" priority="41" operator="equal">
      <formula>5000</formula>
    </cfRule>
    <cfRule type="cellIs" dxfId="138" priority="42" operator="equal">
      <formula>5000</formula>
    </cfRule>
  </conditionalFormatting>
  <conditionalFormatting sqref="C56">
    <cfRule type="cellIs" dxfId="137" priority="39" operator="equal">
      <formula>5000</formula>
    </cfRule>
    <cfRule type="cellIs" dxfId="136" priority="40" operator="equal">
      <formula>5000</formula>
    </cfRule>
  </conditionalFormatting>
  <conditionalFormatting sqref="C58">
    <cfRule type="cellIs" dxfId="135" priority="37" operator="equal">
      <formula>5000</formula>
    </cfRule>
    <cfRule type="cellIs" dxfId="134" priority="38" operator="equal">
      <formula>5000</formula>
    </cfRule>
  </conditionalFormatting>
  <conditionalFormatting sqref="C59">
    <cfRule type="cellIs" dxfId="133" priority="35" operator="equal">
      <formula>5000</formula>
    </cfRule>
    <cfRule type="cellIs" dxfId="132" priority="36" operator="equal">
      <formula>5000</formula>
    </cfRule>
  </conditionalFormatting>
  <conditionalFormatting sqref="C60">
    <cfRule type="cellIs" dxfId="131" priority="33" operator="equal">
      <formula>5000</formula>
    </cfRule>
    <cfRule type="cellIs" dxfId="130" priority="34" operator="equal">
      <formula>5000</formula>
    </cfRule>
  </conditionalFormatting>
  <conditionalFormatting sqref="C63">
    <cfRule type="cellIs" dxfId="129" priority="31" operator="equal">
      <formula>5000</formula>
    </cfRule>
    <cfRule type="cellIs" dxfId="128" priority="32" operator="equal">
      <formula>5000</formula>
    </cfRule>
  </conditionalFormatting>
  <conditionalFormatting sqref="C67">
    <cfRule type="cellIs" dxfId="127" priority="27" operator="equal">
      <formula>5000</formula>
    </cfRule>
    <cfRule type="cellIs" dxfId="126" priority="28" operator="equal">
      <formula>5000</formula>
    </cfRule>
  </conditionalFormatting>
  <conditionalFormatting sqref="C71">
    <cfRule type="cellIs" dxfId="125" priority="25" operator="equal">
      <formula>5000</formula>
    </cfRule>
    <cfRule type="cellIs" dxfId="124" priority="26" operator="equal">
      <formula>5000</formula>
    </cfRule>
  </conditionalFormatting>
  <conditionalFormatting sqref="C72">
    <cfRule type="cellIs" dxfId="123" priority="23" operator="equal">
      <formula>5000</formula>
    </cfRule>
    <cfRule type="cellIs" dxfId="122" priority="24" operator="equal">
      <formula>5000</formula>
    </cfRule>
  </conditionalFormatting>
  <conditionalFormatting sqref="C73">
    <cfRule type="cellIs" dxfId="121" priority="21" operator="equal">
      <formula>5000</formula>
    </cfRule>
    <cfRule type="cellIs" dxfId="120" priority="22" operator="equal">
      <formula>5000</formula>
    </cfRule>
  </conditionalFormatting>
  <conditionalFormatting sqref="C76:C77">
    <cfRule type="cellIs" dxfId="119" priority="19" operator="equal">
      <formula>5000</formula>
    </cfRule>
    <cfRule type="cellIs" dxfId="118" priority="20" operator="equal">
      <formula>5000</formula>
    </cfRule>
  </conditionalFormatting>
  <conditionalFormatting sqref="C78">
    <cfRule type="cellIs" dxfId="117" priority="17" operator="equal">
      <formula>5000</formula>
    </cfRule>
    <cfRule type="cellIs" dxfId="116" priority="18" operator="equal">
      <formula>5000</formula>
    </cfRule>
  </conditionalFormatting>
  <conditionalFormatting sqref="C82">
    <cfRule type="cellIs" dxfId="115" priority="15" operator="equal">
      <formula>5000</formula>
    </cfRule>
    <cfRule type="cellIs" dxfId="114" priority="16" operator="equal">
      <formula>5000</formula>
    </cfRule>
  </conditionalFormatting>
  <conditionalFormatting sqref="C84">
    <cfRule type="cellIs" dxfId="113" priority="13" operator="equal">
      <formula>5000</formula>
    </cfRule>
    <cfRule type="cellIs" dxfId="112" priority="14" operator="equal">
      <formula>5000</formula>
    </cfRule>
  </conditionalFormatting>
  <conditionalFormatting sqref="C86:C87">
    <cfRule type="cellIs" dxfId="111" priority="11" operator="equal">
      <formula>5000</formula>
    </cfRule>
    <cfRule type="cellIs" dxfId="110" priority="12" operator="equal">
      <formula>5000</formula>
    </cfRule>
  </conditionalFormatting>
  <conditionalFormatting sqref="C89">
    <cfRule type="cellIs" dxfId="109" priority="9" operator="equal">
      <formula>5000</formula>
    </cfRule>
    <cfRule type="cellIs" dxfId="108" priority="10" operator="equal">
      <formula>5000</formula>
    </cfRule>
  </conditionalFormatting>
  <conditionalFormatting sqref="C90">
    <cfRule type="cellIs" dxfId="107" priority="7" operator="equal">
      <formula>5000</formula>
    </cfRule>
    <cfRule type="cellIs" dxfId="106" priority="8" operator="equal">
      <formula>5000</formula>
    </cfRule>
  </conditionalFormatting>
  <conditionalFormatting sqref="C91">
    <cfRule type="cellIs" dxfId="105" priority="5" operator="equal">
      <formula>5000</formula>
    </cfRule>
    <cfRule type="cellIs" dxfId="104" priority="6" operator="equal">
      <formula>5000</formula>
    </cfRule>
  </conditionalFormatting>
  <conditionalFormatting sqref="C92">
    <cfRule type="cellIs" dxfId="103" priority="3" operator="equal">
      <formula>5000</formula>
    </cfRule>
    <cfRule type="cellIs" dxfId="102" priority="4" operator="equal">
      <formula>5000</formula>
    </cfRule>
  </conditionalFormatting>
  <conditionalFormatting sqref="C95">
    <cfRule type="cellIs" dxfId="101" priority="1" operator="equal">
      <formula>5000</formula>
    </cfRule>
    <cfRule type="cellIs" dxfId="100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4" sqref="A4:A6"/>
    </sheetView>
  </sheetViews>
  <sheetFormatPr defaultRowHeight="13.5"/>
  <cols>
    <col min="1" max="1" width="44.25" bestFit="1" customWidth="1"/>
    <col min="2" max="2" width="12.75" bestFit="1" customWidth="1"/>
  </cols>
  <sheetData>
    <row r="1" spans="1:2">
      <c r="A1" s="87" t="s">
        <v>645</v>
      </c>
      <c r="B1" s="17">
        <v>362520</v>
      </c>
    </row>
    <row r="2" spans="1:2">
      <c r="A2" s="16" t="s">
        <v>660</v>
      </c>
      <c r="B2" s="17">
        <v>109737.37</v>
      </c>
    </row>
    <row r="3" spans="1:2">
      <c r="A3" s="87" t="s">
        <v>643</v>
      </c>
      <c r="B3" s="17">
        <v>207669.1</v>
      </c>
    </row>
    <row r="4" spans="1:2">
      <c r="A4" s="87" t="s">
        <v>661</v>
      </c>
      <c r="B4" s="92">
        <v>890704.2</v>
      </c>
    </row>
    <row r="5" spans="1:2">
      <c r="A5" s="16" t="s">
        <v>687</v>
      </c>
      <c r="B5" s="92">
        <v>891004.2</v>
      </c>
    </row>
    <row r="6" spans="1:2">
      <c r="A6" s="16" t="s">
        <v>716</v>
      </c>
      <c r="B6" s="92">
        <v>891004.2</v>
      </c>
    </row>
    <row r="7" spans="1:2">
      <c r="B7" s="131">
        <f>SUM(B1:B6)</f>
        <v>3352639.0700000003</v>
      </c>
    </row>
  </sheetData>
  <phoneticPr fontId="52" type="noConversion"/>
  <conditionalFormatting sqref="B1:B3">
    <cfRule type="cellIs" dxfId="99" priority="7" operator="equal">
      <formula>5000</formula>
    </cfRule>
    <cfRule type="cellIs" dxfId="98" priority="8" operator="equal">
      <formula>5000</formula>
    </cfRule>
  </conditionalFormatting>
  <conditionalFormatting sqref="B4">
    <cfRule type="cellIs" dxfId="97" priority="5" operator="equal">
      <formula>5000</formula>
    </cfRule>
    <cfRule type="cellIs" dxfId="96" priority="6" operator="equal">
      <formula>5000</formula>
    </cfRule>
  </conditionalFormatting>
  <conditionalFormatting sqref="B5">
    <cfRule type="cellIs" dxfId="95" priority="3" operator="equal">
      <formula>5000</formula>
    </cfRule>
    <cfRule type="cellIs" dxfId="94" priority="4" operator="equal">
      <formula>5000</formula>
    </cfRule>
  </conditionalFormatting>
  <conditionalFormatting sqref="B6">
    <cfRule type="cellIs" dxfId="93" priority="1" operator="equal">
      <formula>5000</formula>
    </cfRule>
    <cfRule type="cellIs" dxfId="92" priority="2" operator="equal">
      <formula>5000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3.5"/>
  <cols>
    <col min="1" max="1" width="24.875" bestFit="1" customWidth="1"/>
    <col min="2" max="2" width="10.5" bestFit="1" customWidth="1"/>
  </cols>
  <sheetData>
    <row r="1" spans="1:2">
      <c r="A1" s="121" t="s">
        <v>639</v>
      </c>
      <c r="B1" s="92">
        <v>8803.5</v>
      </c>
    </row>
    <row r="2" spans="1:2">
      <c r="A2" s="121" t="s">
        <v>649</v>
      </c>
      <c r="B2" s="92">
        <v>3986.5</v>
      </c>
    </row>
    <row r="3" spans="1:2">
      <c r="A3" s="121" t="s">
        <v>651</v>
      </c>
      <c r="B3" s="92">
        <v>5201.7</v>
      </c>
    </row>
    <row r="4" spans="1:2">
      <c r="A4" s="121" t="s">
        <v>665</v>
      </c>
      <c r="B4" s="92">
        <v>6259.9</v>
      </c>
    </row>
    <row r="5" spans="1:2">
      <c r="A5" s="121" t="s">
        <v>674</v>
      </c>
      <c r="B5" s="92">
        <v>6632.2</v>
      </c>
    </row>
    <row r="6" spans="1:2">
      <c r="A6" s="121" t="s">
        <v>678</v>
      </c>
      <c r="B6" s="92">
        <v>2971.08</v>
      </c>
    </row>
    <row r="7" spans="1:2">
      <c r="A7" s="121" t="s">
        <v>690</v>
      </c>
      <c r="B7" s="92">
        <v>2779</v>
      </c>
    </row>
    <row r="8" spans="1:2">
      <c r="A8" s="121" t="s">
        <v>699</v>
      </c>
      <c r="B8" s="92">
        <v>5287</v>
      </c>
    </row>
    <row r="9" spans="1:2">
      <c r="A9" s="121" t="s">
        <v>706</v>
      </c>
      <c r="B9" s="92">
        <v>3304.5</v>
      </c>
    </row>
    <row r="10" spans="1:2">
      <c r="A10" s="121" t="s">
        <v>726</v>
      </c>
      <c r="B10" s="92">
        <v>3951</v>
      </c>
    </row>
    <row r="11" spans="1:2">
      <c r="A11" s="121" t="s">
        <v>734</v>
      </c>
      <c r="B11" s="92">
        <v>3859.4</v>
      </c>
    </row>
    <row r="12" spans="1:2">
      <c r="A12" s="121" t="s">
        <v>747</v>
      </c>
      <c r="B12" s="92">
        <v>1440</v>
      </c>
    </row>
    <row r="13" spans="1:2">
      <c r="B13" s="131">
        <f>SUM(B1:B12)</f>
        <v>54475.78</v>
      </c>
    </row>
    <row r="14" spans="1:2">
      <c r="B14" s="92"/>
    </row>
    <row r="15" spans="1:2">
      <c r="B15" s="131"/>
    </row>
  </sheetData>
  <phoneticPr fontId="52" type="noConversion"/>
  <conditionalFormatting sqref="B1">
    <cfRule type="cellIs" dxfId="91" priority="25" operator="equal">
      <formula>5000</formula>
    </cfRule>
    <cfRule type="cellIs" dxfId="90" priority="26" operator="equal">
      <formula>5000</formula>
    </cfRule>
  </conditionalFormatting>
  <conditionalFormatting sqref="B2">
    <cfRule type="cellIs" dxfId="89" priority="23" operator="equal">
      <formula>5000</formula>
    </cfRule>
    <cfRule type="cellIs" dxfId="88" priority="24" operator="equal">
      <formula>5000</formula>
    </cfRule>
  </conditionalFormatting>
  <conditionalFormatting sqref="B3">
    <cfRule type="cellIs" dxfId="87" priority="21" operator="equal">
      <formula>5000</formula>
    </cfRule>
    <cfRule type="cellIs" dxfId="86" priority="22" operator="equal">
      <formula>5000</formula>
    </cfRule>
  </conditionalFormatting>
  <conditionalFormatting sqref="B4">
    <cfRule type="cellIs" dxfId="85" priority="19" operator="equal">
      <formula>5000</formula>
    </cfRule>
    <cfRule type="cellIs" dxfId="84" priority="20" operator="equal">
      <formula>5000</formula>
    </cfRule>
  </conditionalFormatting>
  <conditionalFormatting sqref="B5">
    <cfRule type="cellIs" dxfId="83" priority="17" operator="equal">
      <formula>5000</formula>
    </cfRule>
    <cfRule type="cellIs" dxfId="82" priority="18" operator="equal">
      <formula>5000</formula>
    </cfRule>
  </conditionalFormatting>
  <conditionalFormatting sqref="B6">
    <cfRule type="cellIs" dxfId="81" priority="15" operator="equal">
      <formula>5000</formula>
    </cfRule>
    <cfRule type="cellIs" dxfId="80" priority="16" operator="equal">
      <formula>5000</formula>
    </cfRule>
  </conditionalFormatting>
  <conditionalFormatting sqref="B7">
    <cfRule type="cellIs" dxfId="79" priority="13" operator="equal">
      <formula>5000</formula>
    </cfRule>
    <cfRule type="cellIs" dxfId="78" priority="14" operator="equal">
      <formula>5000</formula>
    </cfRule>
  </conditionalFormatting>
  <conditionalFormatting sqref="B8">
    <cfRule type="cellIs" dxfId="77" priority="11" operator="equal">
      <formula>5000</formula>
    </cfRule>
    <cfRule type="cellIs" dxfId="76" priority="12" operator="equal">
      <formula>5000</formula>
    </cfRule>
  </conditionalFormatting>
  <conditionalFormatting sqref="B9">
    <cfRule type="cellIs" dxfId="75" priority="9" operator="equal">
      <formula>5000</formula>
    </cfRule>
    <cfRule type="cellIs" dxfId="74" priority="10" operator="equal">
      <formula>5000</formula>
    </cfRule>
  </conditionalFormatting>
  <conditionalFormatting sqref="B10">
    <cfRule type="cellIs" dxfId="73" priority="7" operator="equal">
      <formula>5000</formula>
    </cfRule>
    <cfRule type="cellIs" dxfId="72" priority="8" operator="equal">
      <formula>5000</formula>
    </cfRule>
  </conditionalFormatting>
  <conditionalFormatting sqref="B11">
    <cfRule type="cellIs" dxfId="71" priority="5" operator="equal">
      <formula>5000</formula>
    </cfRule>
    <cfRule type="cellIs" dxfId="70" priority="6" operator="equal">
      <formula>5000</formula>
    </cfRule>
  </conditionalFormatting>
  <conditionalFormatting sqref="B12">
    <cfRule type="cellIs" dxfId="69" priority="3" operator="equal">
      <formula>5000</formula>
    </cfRule>
    <cfRule type="cellIs" dxfId="68" priority="4" operator="equal">
      <formula>5000</formula>
    </cfRule>
  </conditionalFormatting>
  <conditionalFormatting sqref="B14">
    <cfRule type="cellIs" dxfId="67" priority="1" operator="equal">
      <formula>5000</formula>
    </cfRule>
    <cfRule type="cellIs" dxfId="66" priority="2" operator="equal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21" sqref="B21"/>
    </sheetView>
  </sheetViews>
  <sheetFormatPr defaultRowHeight="13.5"/>
  <cols>
    <col min="1" max="1" width="48.125" bestFit="1" customWidth="1"/>
    <col min="2" max="2" width="11.625" bestFit="1" customWidth="1"/>
  </cols>
  <sheetData>
    <row r="1" spans="1:2">
      <c r="A1" s="130" t="s">
        <v>635</v>
      </c>
      <c r="B1" s="17">
        <v>12000</v>
      </c>
    </row>
    <row r="2" spans="1:2">
      <c r="A2" s="130" t="s">
        <v>637</v>
      </c>
      <c r="B2" s="17"/>
    </row>
    <row r="3" spans="1:2">
      <c r="A3" s="125" t="s">
        <v>652</v>
      </c>
      <c r="B3" s="92"/>
    </row>
    <row r="4" spans="1:2">
      <c r="A4" s="125" t="s">
        <v>656</v>
      </c>
      <c r="B4" s="92">
        <v>33000</v>
      </c>
    </row>
    <row r="5" spans="1:2">
      <c r="A5" s="125" t="s">
        <v>657</v>
      </c>
      <c r="B5" s="92"/>
    </row>
    <row r="6" spans="1:2">
      <c r="A6" s="125" t="s">
        <v>658</v>
      </c>
      <c r="B6" s="92"/>
    </row>
    <row r="7" spans="1:2">
      <c r="A7" s="125" t="s">
        <v>745</v>
      </c>
      <c r="B7" s="92"/>
    </row>
    <row r="8" spans="1:2">
      <c r="A8" s="130" t="s">
        <v>672</v>
      </c>
      <c r="B8" s="92">
        <v>6009.5</v>
      </c>
    </row>
    <row r="9" spans="1:2">
      <c r="A9" s="125" t="s">
        <v>521</v>
      </c>
      <c r="B9" s="92"/>
    </row>
    <row r="10" spans="1:2">
      <c r="A10" s="125" t="s">
        <v>558</v>
      </c>
      <c r="B10" s="92"/>
    </row>
    <row r="11" spans="1:2">
      <c r="A11" s="130" t="s">
        <v>694</v>
      </c>
      <c r="B11" s="17"/>
    </row>
    <row r="12" spans="1:2">
      <c r="A12" s="125" t="s">
        <v>692</v>
      </c>
      <c r="B12" s="17"/>
    </row>
    <row r="13" spans="1:2">
      <c r="A13" s="125" t="s">
        <v>695</v>
      </c>
      <c r="B13" s="92"/>
    </row>
    <row r="14" spans="1:2">
      <c r="A14" s="125" t="s">
        <v>698</v>
      </c>
      <c r="B14" s="92"/>
    </row>
    <row r="15" spans="1:2">
      <c r="A15" s="130" t="s">
        <v>700</v>
      </c>
      <c r="B15" s="17"/>
    </row>
    <row r="16" spans="1:2">
      <c r="A16" s="130" t="s">
        <v>701</v>
      </c>
      <c r="B16" s="132"/>
    </row>
    <row r="17" spans="1:2">
      <c r="A17" s="125" t="s">
        <v>719</v>
      </c>
      <c r="B17" s="92"/>
    </row>
    <row r="18" spans="1:2">
      <c r="A18" s="125" t="s">
        <v>723</v>
      </c>
      <c r="B18" s="92"/>
    </row>
    <row r="19" spans="1:2">
      <c r="A19" s="125" t="s">
        <v>732</v>
      </c>
      <c r="B19" s="92"/>
    </row>
    <row r="20" spans="1:2">
      <c r="A20" s="125" t="s">
        <v>619</v>
      </c>
      <c r="B20" s="92"/>
    </row>
    <row r="21" spans="1:2">
      <c r="A21" s="130" t="s">
        <v>739</v>
      </c>
      <c r="B21" s="92">
        <v>5000</v>
      </c>
    </row>
    <row r="22" spans="1:2">
      <c r="A22" s="130" t="s">
        <v>746</v>
      </c>
      <c r="B22" s="17"/>
    </row>
    <row r="23" spans="1:2">
      <c r="A23" s="130" t="s">
        <v>748</v>
      </c>
      <c r="B23" s="92"/>
    </row>
    <row r="24" spans="1:2">
      <c r="A24" s="125" t="s">
        <v>752</v>
      </c>
      <c r="B24" s="92"/>
    </row>
    <row r="25" spans="1:2">
      <c r="B25" s="131">
        <f>SUM(B1:B24)</f>
        <v>56009.5</v>
      </c>
    </row>
  </sheetData>
  <phoneticPr fontId="52" type="noConversion"/>
  <conditionalFormatting sqref="B1">
    <cfRule type="cellIs" dxfId="65" priority="45" operator="equal">
      <formula>5000</formula>
    </cfRule>
    <cfRule type="cellIs" dxfId="64" priority="46" operator="equal">
      <formula>5000</formula>
    </cfRule>
  </conditionalFormatting>
  <conditionalFormatting sqref="B2">
    <cfRule type="cellIs" dxfId="63" priority="43" operator="equal">
      <formula>5000</formula>
    </cfRule>
    <cfRule type="cellIs" dxfId="62" priority="44" operator="equal">
      <formula>5000</formula>
    </cfRule>
  </conditionalFormatting>
  <conditionalFormatting sqref="B4">
    <cfRule type="cellIs" dxfId="61" priority="41" operator="equal">
      <formula>5000</formula>
    </cfRule>
    <cfRule type="cellIs" dxfId="60" priority="42" operator="equal">
      <formula>5000</formula>
    </cfRule>
  </conditionalFormatting>
  <conditionalFormatting sqref="B3">
    <cfRule type="cellIs" dxfId="59" priority="39" operator="equal">
      <formula>5000</formula>
    </cfRule>
    <cfRule type="cellIs" dxfId="58" priority="40" operator="equal">
      <formula>5000</formula>
    </cfRule>
  </conditionalFormatting>
  <conditionalFormatting sqref="B5">
    <cfRule type="cellIs" dxfId="57" priority="37" operator="equal">
      <formula>5000</formula>
    </cfRule>
    <cfRule type="cellIs" dxfId="56" priority="38" operator="equal">
      <formula>5000</formula>
    </cfRule>
  </conditionalFormatting>
  <conditionalFormatting sqref="B6">
    <cfRule type="cellIs" dxfId="55" priority="35" operator="equal">
      <formula>5000</formula>
    </cfRule>
    <cfRule type="cellIs" dxfId="54" priority="36" operator="equal">
      <formula>5000</formula>
    </cfRule>
  </conditionalFormatting>
  <conditionalFormatting sqref="B7">
    <cfRule type="cellIs" dxfId="53" priority="33" operator="equal">
      <formula>5000</formula>
    </cfRule>
    <cfRule type="cellIs" dxfId="52" priority="34" operator="equal">
      <formula>5000</formula>
    </cfRule>
  </conditionalFormatting>
  <conditionalFormatting sqref="B8">
    <cfRule type="cellIs" dxfId="51" priority="31" operator="equal">
      <formula>5000</formula>
    </cfRule>
    <cfRule type="cellIs" dxfId="50" priority="32" operator="equal">
      <formula>5000</formula>
    </cfRule>
  </conditionalFormatting>
  <conditionalFormatting sqref="B9">
    <cfRule type="cellIs" dxfId="49" priority="29" operator="equal">
      <formula>5000</formula>
    </cfRule>
    <cfRule type="cellIs" dxfId="48" priority="30" operator="equal">
      <formula>5000</formula>
    </cfRule>
  </conditionalFormatting>
  <conditionalFormatting sqref="B10">
    <cfRule type="cellIs" dxfId="47" priority="27" operator="equal">
      <formula>5000</formula>
    </cfRule>
    <cfRule type="cellIs" dxfId="46" priority="28" operator="equal">
      <formula>5000</formula>
    </cfRule>
  </conditionalFormatting>
  <conditionalFormatting sqref="B13">
    <cfRule type="cellIs" dxfId="45" priority="25" operator="equal">
      <formula>5000</formula>
    </cfRule>
    <cfRule type="cellIs" dxfId="44" priority="26" operator="equal">
      <formula>5000</formula>
    </cfRule>
  </conditionalFormatting>
  <conditionalFormatting sqref="B11">
    <cfRule type="cellIs" dxfId="43" priority="23" operator="equal">
      <formula>5000</formula>
    </cfRule>
    <cfRule type="cellIs" dxfId="42" priority="24" operator="equal">
      <formula>5000</formula>
    </cfRule>
  </conditionalFormatting>
  <conditionalFormatting sqref="B12">
    <cfRule type="cellIs" dxfId="41" priority="21" operator="equal">
      <formula>5000</formula>
    </cfRule>
    <cfRule type="cellIs" dxfId="40" priority="22" operator="equal">
      <formula>5000</formula>
    </cfRule>
  </conditionalFormatting>
  <conditionalFormatting sqref="B14">
    <cfRule type="cellIs" dxfId="39" priority="19" operator="equal">
      <formula>5000</formula>
    </cfRule>
    <cfRule type="cellIs" dxfId="38" priority="20" operator="equal">
      <formula>5000</formula>
    </cfRule>
  </conditionalFormatting>
  <conditionalFormatting sqref="B16">
    <cfRule type="cellIs" dxfId="37" priority="17" operator="equal">
      <formula>5000</formula>
    </cfRule>
    <cfRule type="cellIs" dxfId="36" priority="18" operator="equal">
      <formula>5000</formula>
    </cfRule>
  </conditionalFormatting>
  <conditionalFormatting sqref="B15">
    <cfRule type="cellIs" dxfId="35" priority="15" operator="equal">
      <formula>5000</formula>
    </cfRule>
    <cfRule type="cellIs" dxfId="34" priority="16" operator="equal">
      <formula>5000</formula>
    </cfRule>
  </conditionalFormatting>
  <conditionalFormatting sqref="B17">
    <cfRule type="cellIs" dxfId="33" priority="13" operator="equal">
      <formula>5000</formula>
    </cfRule>
    <cfRule type="cellIs" dxfId="32" priority="14" operator="equal">
      <formula>5000</formula>
    </cfRule>
  </conditionalFormatting>
  <conditionalFormatting sqref="B18">
    <cfRule type="cellIs" dxfId="31" priority="11" operator="equal">
      <formula>5000</formula>
    </cfRule>
    <cfRule type="cellIs" dxfId="30" priority="12" operator="equal">
      <formula>5000</formula>
    </cfRule>
  </conditionalFormatting>
  <conditionalFormatting sqref="B19">
    <cfRule type="cellIs" dxfId="29" priority="9" operator="equal">
      <formula>5000</formula>
    </cfRule>
    <cfRule type="cellIs" dxfId="28" priority="10" operator="equal">
      <formula>5000</formula>
    </cfRule>
  </conditionalFormatting>
  <conditionalFormatting sqref="B20:B21">
    <cfRule type="cellIs" dxfId="27" priority="7" operator="equal">
      <formula>5000</formula>
    </cfRule>
    <cfRule type="cellIs" dxfId="26" priority="8" operator="equal">
      <formula>5000</formula>
    </cfRule>
  </conditionalFormatting>
  <conditionalFormatting sqref="B22">
    <cfRule type="cellIs" dxfId="25" priority="5" operator="equal">
      <formula>5000</formula>
    </cfRule>
    <cfRule type="cellIs" dxfId="24" priority="6" operator="equal">
      <formula>5000</formula>
    </cfRule>
  </conditionalFormatting>
  <conditionalFormatting sqref="B23">
    <cfRule type="cellIs" dxfId="23" priority="3" operator="equal">
      <formula>5000</formula>
    </cfRule>
    <cfRule type="cellIs" dxfId="22" priority="4" operator="equal">
      <formula>5000</formula>
    </cfRule>
  </conditionalFormatting>
  <conditionalFormatting sqref="B24">
    <cfRule type="cellIs" dxfId="21" priority="1" operator="equal">
      <formula>5000</formula>
    </cfRule>
    <cfRule type="cellIs" dxfId="20" priority="2" operator="equal">
      <formula>5000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43" sqref="A43"/>
    </sheetView>
  </sheetViews>
  <sheetFormatPr defaultRowHeight="13.5"/>
  <cols>
    <col min="1" max="1" width="44.25" bestFit="1" customWidth="1"/>
    <col min="2" max="2" width="12.375" customWidth="1"/>
  </cols>
  <sheetData>
    <row r="1" spans="1:2">
      <c r="A1" s="99" t="s">
        <v>646</v>
      </c>
      <c r="B1" s="92">
        <v>13039.4</v>
      </c>
    </row>
    <row r="2" spans="1:2">
      <c r="A2" s="100" t="s">
        <v>648</v>
      </c>
      <c r="B2" s="92">
        <v>21250</v>
      </c>
    </row>
    <row r="3" spans="1:2">
      <c r="A3" s="101" t="s">
        <v>654</v>
      </c>
      <c r="B3" s="92">
        <v>1250</v>
      </c>
    </row>
    <row r="4" spans="1:2">
      <c r="A4" s="100" t="s">
        <v>563</v>
      </c>
      <c r="B4" s="92">
        <v>28925</v>
      </c>
    </row>
    <row r="5" spans="1:2">
      <c r="A5" s="102" t="s">
        <v>563</v>
      </c>
      <c r="B5" s="92">
        <v>17600</v>
      </c>
    </row>
    <row r="6" spans="1:2">
      <c r="A6" s="100" t="s">
        <v>675</v>
      </c>
      <c r="B6" s="92">
        <v>10550</v>
      </c>
    </row>
    <row r="7" spans="1:2">
      <c r="A7" s="100" t="s">
        <v>676</v>
      </c>
      <c r="B7" s="92">
        <v>4205.46</v>
      </c>
    </row>
    <row r="8" spans="1:2">
      <c r="A8" s="100" t="s">
        <v>710</v>
      </c>
      <c r="B8" s="92">
        <v>8780</v>
      </c>
    </row>
    <row r="9" spans="1:2">
      <c r="A9" s="101" t="s">
        <v>654</v>
      </c>
      <c r="B9" s="92">
        <v>11020</v>
      </c>
    </row>
    <row r="10" spans="1:2">
      <c r="A10" s="101" t="s">
        <v>654</v>
      </c>
      <c r="B10" s="113">
        <v>20979.14</v>
      </c>
    </row>
    <row r="11" spans="1:2">
      <c r="A11" s="100" t="s">
        <v>711</v>
      </c>
      <c r="B11" s="92">
        <v>4636</v>
      </c>
    </row>
    <row r="12" spans="1:2">
      <c r="A12" s="128" t="s">
        <v>744</v>
      </c>
      <c r="B12" s="92">
        <v>6017.2</v>
      </c>
    </row>
    <row r="13" spans="1:2">
      <c r="B13" s="131">
        <f>SUM(B1:B12)</f>
        <v>148252.20000000001</v>
      </c>
    </row>
  </sheetData>
  <phoneticPr fontId="52" type="noConversion"/>
  <conditionalFormatting sqref="B1:B2">
    <cfRule type="cellIs" dxfId="19" priority="19" operator="equal">
      <formula>5000</formula>
    </cfRule>
    <cfRule type="cellIs" dxfId="18" priority="20" operator="equal">
      <formula>5000</formula>
    </cfRule>
  </conditionalFormatting>
  <conditionalFormatting sqref="B4">
    <cfRule type="cellIs" dxfId="17" priority="17" operator="equal">
      <formula>5000</formula>
    </cfRule>
    <cfRule type="cellIs" dxfId="16" priority="18" operator="equal">
      <formula>5000</formula>
    </cfRule>
  </conditionalFormatting>
  <conditionalFormatting sqref="B3">
    <cfRule type="cellIs" dxfId="15" priority="15" operator="equal">
      <formula>5000</formula>
    </cfRule>
    <cfRule type="cellIs" dxfId="14" priority="16" operator="equal">
      <formula>5000</formula>
    </cfRule>
  </conditionalFormatting>
  <conditionalFormatting sqref="B5">
    <cfRule type="cellIs" dxfId="13" priority="13" operator="equal">
      <formula>5000</formula>
    </cfRule>
    <cfRule type="cellIs" dxfId="12" priority="14" operator="equal">
      <formula>5000</formula>
    </cfRule>
  </conditionalFormatting>
  <conditionalFormatting sqref="B7">
    <cfRule type="cellIs" dxfId="11" priority="11" operator="equal">
      <formula>5000</formula>
    </cfRule>
    <cfRule type="cellIs" dxfId="10" priority="12" operator="equal">
      <formula>5000</formula>
    </cfRule>
  </conditionalFormatting>
  <conditionalFormatting sqref="B6">
    <cfRule type="cellIs" dxfId="9" priority="9" operator="equal">
      <formula>5000</formula>
    </cfRule>
    <cfRule type="cellIs" dxfId="8" priority="10" operator="equal">
      <formula>5000</formula>
    </cfRule>
  </conditionalFormatting>
  <conditionalFormatting sqref="B8">
    <cfRule type="cellIs" dxfId="7" priority="7" operator="equal">
      <formula>5000</formula>
    </cfRule>
    <cfRule type="cellIs" dxfId="6" priority="8" operator="equal">
      <formula>5000</formula>
    </cfRule>
  </conditionalFormatting>
  <conditionalFormatting sqref="B9">
    <cfRule type="cellIs" dxfId="5" priority="5" operator="equal">
      <formula>5000</formula>
    </cfRule>
    <cfRule type="cellIs" dxfId="4" priority="6" operator="equal">
      <formula>5000</formula>
    </cfRule>
  </conditionalFormatting>
  <conditionalFormatting sqref="B11">
    <cfRule type="cellIs" dxfId="3" priority="3" operator="equal">
      <formula>5000</formula>
    </cfRule>
    <cfRule type="cellIs" dxfId="2" priority="4" operator="equal">
      <formula>5000</formula>
    </cfRule>
  </conditionalFormatting>
  <conditionalFormatting sqref="B12">
    <cfRule type="cellIs" dxfId="1" priority="1" operator="equal">
      <formula>5000</formula>
    </cfRule>
    <cfRule type="cellIs" dxfId="0" priority="2" operator="equal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2020</vt:lpstr>
      <vt:lpstr>2021</vt:lpstr>
      <vt:lpstr>2022</vt:lpstr>
      <vt:lpstr>2023</vt:lpstr>
      <vt:lpstr>2024</vt:lpstr>
      <vt:lpstr>2025</vt:lpstr>
      <vt:lpstr>人工</vt:lpstr>
      <vt:lpstr>水电材料</vt:lpstr>
      <vt:lpstr>维保费</vt:lpstr>
      <vt:lpstr>安全费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张建敏</cp:lastModifiedBy>
  <cp:lastPrinted>2024-01-02T03:33:00Z</cp:lastPrinted>
  <dcterms:created xsi:type="dcterms:W3CDTF">2006-09-13T11:21:00Z</dcterms:created>
  <dcterms:modified xsi:type="dcterms:W3CDTF">2026-05-14T06:39:42Z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DF27548D7B504E568839F79B30B7AFBA_13</vt:lpwstr>
  </property>
  <property fmtid="{D5CDD505-2E9C-101B-9397-08002B2CF9AE}" pid="3" name="KSOProductBuildVer">
    <vt:lpwstr>2052-12.1.0.15120</vt:lpwstr>
  </property>
</Properties>
</file>