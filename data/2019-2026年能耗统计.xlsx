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水费" sheetId="4" r:id="rId1"/>
    <sheet name="电费" sheetId="5" r:id="rId2"/>
    <sheet name="燃气费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4" l="1"/>
  <c r="Q4" i="4"/>
  <c r="Q5" i="4"/>
  <c r="Q6" i="4"/>
  <c r="Q3" i="4"/>
  <c r="I15" i="4"/>
  <c r="I4" i="4"/>
  <c r="I5" i="4"/>
  <c r="I6" i="4"/>
  <c r="I3" i="4"/>
  <c r="Q15" i="5"/>
  <c r="Q4" i="5"/>
  <c r="Q5" i="5"/>
  <c r="Q6" i="5"/>
  <c r="Q3" i="5"/>
  <c r="I15" i="5"/>
  <c r="I4" i="5"/>
  <c r="I5" i="5"/>
  <c r="I6" i="5"/>
  <c r="I3" i="5"/>
  <c r="Q6" i="3"/>
  <c r="Q4" i="3"/>
  <c r="Q5" i="3"/>
  <c r="Q3" i="3"/>
  <c r="I4" i="3"/>
  <c r="I5" i="3"/>
  <c r="I6" i="3"/>
  <c r="I3" i="3"/>
  <c r="Q15" i="3" l="1"/>
  <c r="I15" i="3"/>
  <c r="P15" i="4" l="1"/>
  <c r="H15" i="4"/>
  <c r="P15" i="5" l="1"/>
  <c r="C15" i="3" l="1"/>
  <c r="D15" i="3"/>
  <c r="E15" i="3"/>
  <c r="F15" i="3"/>
  <c r="G15" i="3"/>
  <c r="H15" i="3"/>
  <c r="L15" i="3"/>
  <c r="M15" i="3"/>
  <c r="N15" i="3"/>
  <c r="O15" i="3"/>
  <c r="P15" i="3"/>
  <c r="B15" i="3"/>
  <c r="K4" i="3"/>
  <c r="K5" i="3"/>
  <c r="K15" i="3" s="1"/>
  <c r="K6" i="3"/>
  <c r="K7" i="3"/>
  <c r="K8" i="3"/>
  <c r="K9" i="3"/>
  <c r="K10" i="3"/>
  <c r="K11" i="3"/>
  <c r="K12" i="3"/>
  <c r="K13" i="3"/>
  <c r="K14" i="3"/>
  <c r="K3" i="3"/>
  <c r="J4" i="3"/>
  <c r="J5" i="3"/>
  <c r="J6" i="3"/>
  <c r="J7" i="3"/>
  <c r="J8" i="3"/>
  <c r="J15" i="3" s="1"/>
  <c r="J9" i="3"/>
  <c r="J10" i="3"/>
  <c r="J11" i="3"/>
  <c r="J12" i="3"/>
  <c r="J13" i="3"/>
  <c r="J14" i="3"/>
  <c r="J3" i="3"/>
  <c r="J15" i="4"/>
  <c r="C15" i="4"/>
  <c r="D15" i="4"/>
  <c r="E15" i="4"/>
  <c r="F15" i="4"/>
  <c r="G15" i="4"/>
  <c r="L15" i="4"/>
  <c r="M15" i="4"/>
  <c r="N15" i="4"/>
  <c r="O15" i="4"/>
  <c r="G17" i="4"/>
  <c r="G15" i="5"/>
  <c r="C15" i="5"/>
  <c r="D15" i="5"/>
  <c r="E15" i="5"/>
  <c r="F15" i="5"/>
  <c r="J15" i="5"/>
  <c r="L15" i="5"/>
  <c r="M15" i="5"/>
  <c r="N15" i="5"/>
  <c r="O17" i="4" l="1"/>
  <c r="K15" i="4"/>
  <c r="K15" i="5"/>
  <c r="B15" i="5"/>
  <c r="B15" i="4"/>
  <c r="O15" i="5"/>
</calcChain>
</file>

<file path=xl/sharedStrings.xml><?xml version="1.0" encoding="utf-8"?>
<sst xmlns="http://schemas.openxmlformats.org/spreadsheetml/2006/main" count="103" uniqueCount="38">
  <si>
    <t>一月</t>
    <phoneticPr fontId="1" type="noConversion"/>
  </si>
  <si>
    <t>二月</t>
    <phoneticPr fontId="1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</si>
  <si>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</si>
  <si>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</si>
  <si>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</si>
  <si>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</si>
  <si>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</si>
  <si>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</si>
  <si>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</si>
  <si>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</si>
  <si>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</si>
  <si>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</si>
  <si>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2024年</t>
    <phoneticPr fontId="1" type="noConversion"/>
  </si>
  <si>
    <t>2025年</t>
    <phoneticPr fontId="1" type="noConversion"/>
  </si>
  <si>
    <t>2025年</t>
    <phoneticPr fontId="1" type="noConversion"/>
  </si>
  <si>
    <t>备注</t>
    <phoneticPr fontId="1" type="noConversion"/>
  </si>
  <si>
    <t>月份</t>
    <phoneticPr fontId="1" type="noConversion"/>
  </si>
  <si>
    <t>全年合计</t>
    <phoneticPr fontId="1" type="noConversion"/>
  </si>
  <si>
    <t>同期对比（截止8月）</t>
    <phoneticPr fontId="1" type="noConversion"/>
  </si>
  <si>
    <t>用量（立方米）</t>
    <phoneticPr fontId="1" type="noConversion"/>
  </si>
  <si>
    <t>用量（千瓦时）</t>
    <phoneticPr fontId="1" type="noConversion"/>
  </si>
  <si>
    <t>费用支出（元）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</si>
  <si>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</si>
  <si>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</si>
  <si>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</si>
  <si>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</si>
  <si>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</si>
  <si>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升降趋势</t>
    <phoneticPr fontId="1" type="noConversion"/>
  </si>
  <si>
    <t>用量（吨）</t>
    <phoneticPr fontId="1" type="noConversion"/>
  </si>
  <si>
    <t>升降趋势</t>
    <phoneticPr fontId="1" type="noConversion"/>
  </si>
  <si>
    <t>升降趋势</t>
    <phoneticPr fontId="1" type="noConversion"/>
  </si>
  <si>
    <t>2026年</t>
    <phoneticPr fontId="1" type="noConversion"/>
  </si>
  <si>
    <t>2026年</t>
    <phoneticPr fontId="1" type="noConversion"/>
  </si>
  <si>
    <t>2025年</t>
  </si>
  <si>
    <t>2026年</t>
    <phoneticPr fontId="1" type="noConversion"/>
  </si>
  <si>
    <t>2026年</t>
    <phoneticPr fontId="1" type="noConversion"/>
  </si>
  <si>
    <t>2026年</t>
    <phoneticPr fontId="1" type="noConversion"/>
  </si>
  <si>
    <t>2026年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</si>
</sst>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_ "/>
    <numFmt numFmtId="178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rgb="FF00B05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6" fontId="5" fillId="2" borderId="15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/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392;&#27743;&#22823;&#27004;\2026\&#33021;&#32791;\2026&#24180;&#27700;&#30005;&#36153;&#32479;&#357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水费"/>
      <sheetName val="电费"/>
      <sheetName val="燃气费"/>
    </sheetNames>
    <sheetDataSet>
      <sheetData sheetId="0">
        <row r="4">
          <cell r="B4">
            <v>2175</v>
          </cell>
          <cell r="C4">
            <v>10222.5</v>
          </cell>
        </row>
        <row r="5">
          <cell r="B5">
            <v>2440</v>
          </cell>
          <cell r="C5">
            <v>11468</v>
          </cell>
        </row>
        <row r="6">
          <cell r="B6">
            <v>1446</v>
          </cell>
          <cell r="C6">
            <v>6796.2000000000007</v>
          </cell>
        </row>
        <row r="7">
          <cell r="B7">
            <v>2017</v>
          </cell>
          <cell r="C7">
            <v>9479.9</v>
          </cell>
        </row>
      </sheetData>
      <sheetData sheetId="1">
        <row r="4">
          <cell r="D4">
            <v>239670.65</v>
          </cell>
          <cell r="G4">
            <v>336120</v>
          </cell>
        </row>
        <row r="5">
          <cell r="D5">
            <v>233626.68</v>
          </cell>
          <cell r="G5">
            <v>353200</v>
          </cell>
        </row>
        <row r="6">
          <cell r="D6">
            <v>168750.07</v>
          </cell>
          <cell r="G6">
            <v>251880</v>
          </cell>
        </row>
        <row r="7">
          <cell r="D7">
            <v>188548.71</v>
          </cell>
          <cell r="G7">
            <v>277960</v>
          </cell>
        </row>
      </sheetData>
      <sheetData sheetId="2">
        <row r="2">
          <cell r="F2">
            <v>117228.15000000002</v>
          </cell>
          <cell r="M2">
            <v>31095</v>
          </cell>
        </row>
        <row r="3">
          <cell r="F3">
            <v>153205.26</v>
          </cell>
          <cell r="M3">
            <v>40638</v>
          </cell>
        </row>
        <row r="4">
          <cell r="F4">
            <v>54698.93</v>
          </cell>
          <cell r="M4">
            <v>14509</v>
          </cell>
        </row>
        <row r="5">
          <cell r="F5">
            <v>12791.61</v>
          </cell>
          <cell r="M5">
            <v>3393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Q7" sqref="Q7:Q14"/>
    </sheetView>
  </sheetViews>
  <sheetFormatPr defaultRowHeight="14.25" x14ac:dyDescent="0.2"/>
  <cols>
    <col min="1" max="1" width="22" bestFit="1" customWidth="1"/>
    <col min="2" max="3" width="9.125" bestFit="1" customWidth="1"/>
    <col min="4" max="4" width="10.75" bestFit="1" customWidth="1"/>
    <col min="5" max="6" width="9.125" bestFit="1" customWidth="1"/>
    <col min="7" max="7" width="10.875" bestFit="1" customWidth="1"/>
    <col min="8" max="8" width="10.875" customWidth="1"/>
    <col min="9" max="9" width="10.875" bestFit="1" customWidth="1"/>
    <col min="10" max="10" width="10.125" customWidth="1"/>
    <col min="11" max="11" width="9.125" bestFit="1" customWidth="1"/>
    <col min="12" max="12" width="9.625" bestFit="1" customWidth="1"/>
    <col min="13" max="14" width="9.125" bestFit="1" customWidth="1"/>
    <col min="15" max="15" width="10.75" bestFit="1" customWidth="1"/>
    <col min="16" max="16" width="10.75" customWidth="1"/>
    <col min="17" max="17" width="10.75" bestFit="1" customWidth="1"/>
  </cols>
  <sheetData>
    <row r="1" spans="1:17" ht="27.95" customHeight="1" x14ac:dyDescent="0.2">
      <c r="A1" s="29" t="s">
        <v>16</v>
      </c>
      <c r="B1" s="31" t="s">
        <v>21</v>
      </c>
      <c r="C1" s="32"/>
      <c r="D1" s="32"/>
      <c r="E1" s="32"/>
      <c r="F1" s="32"/>
      <c r="G1" s="32"/>
      <c r="H1" s="32"/>
      <c r="I1" s="33"/>
      <c r="J1" s="34" t="s">
        <v>28</v>
      </c>
      <c r="K1" s="35"/>
      <c r="L1" s="35"/>
      <c r="M1" s="35"/>
      <c r="N1" s="35"/>
      <c r="O1" s="35"/>
      <c r="P1" s="35"/>
      <c r="Q1" s="36"/>
    </row>
    <row r="2" spans="1:17" ht="27.95" customHeight="1" x14ac:dyDescent="0.2">
      <c r="A2" s="30"/>
      <c r="B2" s="12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12</v>
      </c>
      <c r="H2" s="13" t="s">
        <v>13</v>
      </c>
      <c r="I2" s="13" t="s">
        <v>36</v>
      </c>
      <c r="J2" s="12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12</v>
      </c>
      <c r="P2" s="13" t="s">
        <v>13</v>
      </c>
      <c r="Q2" s="13" t="s">
        <v>37</v>
      </c>
    </row>
    <row r="3" spans="1:17" ht="27.95" customHeight="1" x14ac:dyDescent="0.2">
      <c r="A3" s="9" t="s">
        <v>0</v>
      </c>
      <c r="B3" s="12">
        <v>1292.5</v>
      </c>
      <c r="C3" s="8">
        <v>10918.1</v>
      </c>
      <c r="D3" s="6">
        <v>12262.77</v>
      </c>
      <c r="E3" s="8">
        <v>12361</v>
      </c>
      <c r="F3" s="8">
        <v>10123.700000000001</v>
      </c>
      <c r="G3" s="6">
        <v>11500.9</v>
      </c>
      <c r="H3" s="14">
        <v>11110.8</v>
      </c>
      <c r="I3" s="14">
        <f>[1]水费!$C4</f>
        <v>10222.5</v>
      </c>
      <c r="J3" s="12">
        <v>275</v>
      </c>
      <c r="K3" s="11">
        <v>2323</v>
      </c>
      <c r="L3" s="11">
        <v>2899</v>
      </c>
      <c r="M3" s="8">
        <v>2630</v>
      </c>
      <c r="N3" s="8">
        <v>2175</v>
      </c>
      <c r="O3" s="7">
        <v>2447</v>
      </c>
      <c r="P3" s="17">
        <v>2364</v>
      </c>
      <c r="Q3" s="17">
        <f>[1]水费!$B4</f>
        <v>2175</v>
      </c>
    </row>
    <row r="4" spans="1:17" ht="27.95" customHeight="1" x14ac:dyDescent="0.2">
      <c r="A4" s="9" t="s">
        <v>1</v>
      </c>
      <c r="B4" s="12">
        <v>648.6</v>
      </c>
      <c r="C4" s="8">
        <v>8032.3</v>
      </c>
      <c r="D4" s="6">
        <v>9885.51</v>
      </c>
      <c r="E4" s="8">
        <v>12652.4</v>
      </c>
      <c r="F4" s="8">
        <v>8956.52</v>
      </c>
      <c r="G4" s="6">
        <v>12375.099999999999</v>
      </c>
      <c r="H4" s="14">
        <v>8135.7</v>
      </c>
      <c r="I4" s="14">
        <f>[1]水费!$C5</f>
        <v>11468</v>
      </c>
      <c r="J4" s="12">
        <v>138</v>
      </c>
      <c r="K4" s="11">
        <v>1709</v>
      </c>
      <c r="L4" s="11">
        <v>2337</v>
      </c>
      <c r="M4" s="8">
        <v>2692</v>
      </c>
      <c r="N4" s="8">
        <v>1922</v>
      </c>
      <c r="O4" s="7">
        <v>2633</v>
      </c>
      <c r="P4" s="17">
        <v>1731</v>
      </c>
      <c r="Q4" s="17">
        <f>[1]水费!$B5</f>
        <v>2440</v>
      </c>
    </row>
    <row r="5" spans="1:17" ht="27.95" customHeight="1" x14ac:dyDescent="0.2">
      <c r="A5" s="9" t="s">
        <v>2</v>
      </c>
      <c r="B5" s="12">
        <v>958.8</v>
      </c>
      <c r="C5" s="8">
        <v>4107.33</v>
      </c>
      <c r="D5" s="6">
        <v>4149.63</v>
      </c>
      <c r="E5" s="8">
        <v>7994.7</v>
      </c>
      <c r="F5" s="8">
        <v>11281.86</v>
      </c>
      <c r="G5" s="6">
        <v>8253.2000000000007</v>
      </c>
      <c r="H5" s="14">
        <v>7115.7999999999993</v>
      </c>
      <c r="I5" s="14">
        <f>[1]水费!$C6</f>
        <v>6796.2000000000007</v>
      </c>
      <c r="J5" s="12">
        <v>203.99999999999997</v>
      </c>
      <c r="K5" s="11">
        <v>873.9</v>
      </c>
      <c r="L5" s="11">
        <v>981</v>
      </c>
      <c r="M5" s="8">
        <v>1701</v>
      </c>
      <c r="N5" s="8">
        <v>2421</v>
      </c>
      <c r="O5" s="7">
        <v>1756</v>
      </c>
      <c r="P5" s="17">
        <v>1514</v>
      </c>
      <c r="Q5" s="17">
        <f>[1]水费!$B6</f>
        <v>1446</v>
      </c>
    </row>
    <row r="6" spans="1:17" ht="27.95" customHeight="1" x14ac:dyDescent="0.2">
      <c r="A6" s="9" t="s">
        <v>3</v>
      </c>
      <c r="B6" s="12">
        <v>6199.3</v>
      </c>
      <c r="C6" s="8">
        <v>7893.18</v>
      </c>
      <c r="D6" s="6">
        <v>14800.3</v>
      </c>
      <c r="E6" s="8">
        <v>11721.8</v>
      </c>
      <c r="F6" s="8">
        <v>11505.54</v>
      </c>
      <c r="G6" s="6">
        <v>11646.599999999999</v>
      </c>
      <c r="H6" s="14">
        <v>10833.5</v>
      </c>
      <c r="I6" s="14">
        <f>[1]水费!$C7</f>
        <v>9479.9</v>
      </c>
      <c r="J6" s="12">
        <v>1319</v>
      </c>
      <c r="K6" s="11">
        <v>1679.4</v>
      </c>
      <c r="L6" s="11">
        <v>3149</v>
      </c>
      <c r="M6" s="8">
        <v>2494</v>
      </c>
      <c r="N6" s="8">
        <v>2469</v>
      </c>
      <c r="O6" s="7">
        <v>2478</v>
      </c>
      <c r="P6" s="17">
        <v>2305</v>
      </c>
      <c r="Q6" s="17">
        <f>[1]水费!$B7</f>
        <v>2017</v>
      </c>
    </row>
    <row r="7" spans="1:17" ht="27.95" customHeight="1" x14ac:dyDescent="0.2">
      <c r="A7" s="9" t="s">
        <v>4</v>
      </c>
      <c r="B7" s="12">
        <v>10565.6</v>
      </c>
      <c r="C7" s="8">
        <v>9923.58</v>
      </c>
      <c r="D7" s="6">
        <v>11101.4</v>
      </c>
      <c r="E7" s="8">
        <v>10227.200000000001</v>
      </c>
      <c r="F7" s="8">
        <v>12157.94</v>
      </c>
      <c r="G7" s="6">
        <v>10528</v>
      </c>
      <c r="H7" s="14">
        <v>12718.2</v>
      </c>
      <c r="I7" s="14"/>
      <c r="J7" s="12">
        <v>2248</v>
      </c>
      <c r="K7" s="11">
        <v>2111.4</v>
      </c>
      <c r="L7" s="11">
        <v>2362</v>
      </c>
      <c r="M7" s="8">
        <v>2176</v>
      </c>
      <c r="N7" s="8">
        <v>2609</v>
      </c>
      <c r="O7" s="7">
        <v>2240</v>
      </c>
      <c r="P7" s="17">
        <v>2706</v>
      </c>
      <c r="Q7" s="17"/>
    </row>
    <row r="8" spans="1:17" ht="27.95" customHeight="1" x14ac:dyDescent="0.2">
      <c r="A8" s="9" t="s">
        <v>5</v>
      </c>
      <c r="B8" s="12">
        <v>10076.799999999999</v>
      </c>
      <c r="C8" s="8">
        <v>10748.43</v>
      </c>
      <c r="D8" s="6">
        <v>10401.1</v>
      </c>
      <c r="E8" s="8">
        <v>12220</v>
      </c>
      <c r="F8" s="8">
        <v>12600.64</v>
      </c>
      <c r="G8" s="6">
        <v>12483.2</v>
      </c>
      <c r="H8" s="14">
        <v>10340</v>
      </c>
      <c r="I8" s="14"/>
      <c r="J8" s="12">
        <v>2143.9999999999995</v>
      </c>
      <c r="K8" s="11">
        <v>2286.9</v>
      </c>
      <c r="L8" s="11">
        <v>2213</v>
      </c>
      <c r="M8" s="8">
        <v>2600</v>
      </c>
      <c r="N8" s="8">
        <v>2704</v>
      </c>
      <c r="O8" s="7">
        <v>2656</v>
      </c>
      <c r="P8" s="17">
        <v>2200</v>
      </c>
      <c r="Q8" s="17"/>
    </row>
    <row r="9" spans="1:17" ht="27.95" customHeight="1" x14ac:dyDescent="0.2">
      <c r="A9" s="9" t="s">
        <v>6</v>
      </c>
      <c r="B9" s="12">
        <v>11101.4</v>
      </c>
      <c r="C9" s="8">
        <v>12182.4</v>
      </c>
      <c r="D9" s="6">
        <v>17244.3</v>
      </c>
      <c r="E9" s="8">
        <v>13912</v>
      </c>
      <c r="F9" s="8">
        <v>13313.62</v>
      </c>
      <c r="G9" s="6">
        <v>11862.8</v>
      </c>
      <c r="H9" s="14">
        <v>11524.4</v>
      </c>
      <c r="I9" s="14"/>
      <c r="J9" s="12">
        <v>2362</v>
      </c>
      <c r="K9" s="11">
        <v>2592</v>
      </c>
      <c r="L9" s="11">
        <v>3669</v>
      </c>
      <c r="M9" s="8">
        <v>2960</v>
      </c>
      <c r="N9" s="8">
        <v>2857</v>
      </c>
      <c r="O9" s="7">
        <v>2524</v>
      </c>
      <c r="P9" s="17">
        <v>2452</v>
      </c>
      <c r="Q9" s="17"/>
    </row>
    <row r="10" spans="1:17" ht="27.95" customHeight="1" x14ac:dyDescent="0.2">
      <c r="A10" s="9" t="s">
        <v>7</v>
      </c>
      <c r="B10" s="12">
        <v>16732</v>
      </c>
      <c r="C10" s="8">
        <v>16814.25</v>
      </c>
      <c r="D10" s="6">
        <v>15392.5</v>
      </c>
      <c r="E10" s="8">
        <v>19598.04</v>
      </c>
      <c r="F10" s="8">
        <v>19753.740000000002</v>
      </c>
      <c r="G10" s="6">
        <v>19749.400000000001</v>
      </c>
      <c r="H10" s="14">
        <v>15702.7</v>
      </c>
      <c r="I10" s="14"/>
      <c r="J10" s="12">
        <v>3560</v>
      </c>
      <c r="K10" s="11">
        <v>3577.5</v>
      </c>
      <c r="L10" s="11">
        <v>3275</v>
      </c>
      <c r="M10" s="8">
        <v>4242</v>
      </c>
      <c r="N10" s="8">
        <v>4239</v>
      </c>
      <c r="O10" s="7">
        <v>4202</v>
      </c>
      <c r="P10" s="17">
        <v>3341</v>
      </c>
      <c r="Q10" s="17"/>
    </row>
    <row r="11" spans="1:17" ht="27.95" customHeight="1" x14ac:dyDescent="0.2">
      <c r="A11" s="9" t="s">
        <v>8</v>
      </c>
      <c r="B11" s="12">
        <v>16215</v>
      </c>
      <c r="C11" s="8">
        <v>13874.4</v>
      </c>
      <c r="D11" s="21">
        <v>18734.2</v>
      </c>
      <c r="E11" s="8">
        <v>18526.2</v>
      </c>
      <c r="F11" s="8">
        <v>17363.16</v>
      </c>
      <c r="G11" s="6">
        <v>17310.099999999999</v>
      </c>
      <c r="H11" s="13">
        <v>17042.2</v>
      </c>
      <c r="I11" s="14"/>
      <c r="J11" s="12">
        <v>3450</v>
      </c>
      <c r="K11" s="11">
        <v>2952</v>
      </c>
      <c r="L11" s="11">
        <v>3986</v>
      </c>
      <c r="M11" s="8">
        <v>4010</v>
      </c>
      <c r="N11" s="8">
        <v>3726</v>
      </c>
      <c r="O11" s="7">
        <v>3683</v>
      </c>
      <c r="P11" s="13">
        <v>3626</v>
      </c>
      <c r="Q11" s="17"/>
    </row>
    <row r="12" spans="1:17" ht="27.95" customHeight="1" x14ac:dyDescent="0.2">
      <c r="A12" s="9" t="s">
        <v>9</v>
      </c>
      <c r="B12" s="12">
        <v>12191.8</v>
      </c>
      <c r="C12" s="8">
        <v>7630.92</v>
      </c>
      <c r="D12" s="6">
        <v>20421.5</v>
      </c>
      <c r="E12" s="8">
        <v>14178.78</v>
      </c>
      <c r="F12" s="8">
        <v>13639.82</v>
      </c>
      <c r="G12" s="6">
        <v>13921.400000000001</v>
      </c>
      <c r="H12" s="13">
        <v>12910.900000000001</v>
      </c>
      <c r="I12" s="14"/>
      <c r="J12" s="12">
        <v>2593.9999999999995</v>
      </c>
      <c r="K12" s="11">
        <v>1623.6</v>
      </c>
      <c r="L12" s="11">
        <v>4345</v>
      </c>
      <c r="M12" s="8">
        <v>3069</v>
      </c>
      <c r="N12" s="8">
        <v>2927</v>
      </c>
      <c r="O12" s="7">
        <v>2962</v>
      </c>
      <c r="P12" s="13">
        <v>2747</v>
      </c>
      <c r="Q12" s="17"/>
    </row>
    <row r="13" spans="1:17" ht="27.95" customHeight="1" x14ac:dyDescent="0.2">
      <c r="A13" s="9" t="s">
        <v>10</v>
      </c>
      <c r="B13" s="12">
        <v>10316.5</v>
      </c>
      <c r="C13" s="8">
        <v>6353.46</v>
      </c>
      <c r="D13" s="6">
        <v>9747.7999999999993</v>
      </c>
      <c r="E13" s="8">
        <v>7458.14</v>
      </c>
      <c r="F13" s="8">
        <v>14916.66</v>
      </c>
      <c r="G13" s="6">
        <v>10927.5</v>
      </c>
      <c r="H13" s="13">
        <v>9653.7999999999993</v>
      </c>
      <c r="I13" s="14"/>
      <c r="J13" s="12">
        <v>2195</v>
      </c>
      <c r="K13" s="11">
        <v>1351.8</v>
      </c>
      <c r="L13" s="11">
        <v>2074</v>
      </c>
      <c r="M13" s="8">
        <v>2902</v>
      </c>
      <c r="N13" s="8">
        <v>3201</v>
      </c>
      <c r="O13" s="7">
        <v>2325</v>
      </c>
      <c r="P13" s="13">
        <v>2054</v>
      </c>
      <c r="Q13" s="17"/>
    </row>
    <row r="14" spans="1:17" ht="27.95" customHeight="1" x14ac:dyDescent="0.2">
      <c r="A14" s="9" t="s">
        <v>11</v>
      </c>
      <c r="B14" s="12">
        <v>14776.8</v>
      </c>
      <c r="C14" s="8">
        <v>9999.7199999999993</v>
      </c>
      <c r="D14" s="6">
        <v>12351.6</v>
      </c>
      <c r="E14" s="8">
        <v>6985.26</v>
      </c>
      <c r="F14" s="8">
        <v>12674.72</v>
      </c>
      <c r="G14" s="6">
        <v>10109.700000000001</v>
      </c>
      <c r="H14" s="13">
        <v>9000.5</v>
      </c>
      <c r="I14" s="14"/>
      <c r="J14" s="12">
        <v>3143.9999999999995</v>
      </c>
      <c r="K14" s="11">
        <v>2127.6</v>
      </c>
      <c r="L14" s="11">
        <v>2628</v>
      </c>
      <c r="M14" s="8">
        <v>2718</v>
      </c>
      <c r="N14" s="8">
        <v>2720</v>
      </c>
      <c r="O14" s="7">
        <v>2151</v>
      </c>
      <c r="P14" s="13">
        <v>1915</v>
      </c>
      <c r="Q14" s="17"/>
    </row>
    <row r="15" spans="1:17" ht="27.95" customHeight="1" x14ac:dyDescent="0.2">
      <c r="A15" s="9" t="s">
        <v>17</v>
      </c>
      <c r="B15" s="12">
        <f>SUM(B3:B14)</f>
        <v>111075.1</v>
      </c>
      <c r="C15" s="8">
        <f t="shared" ref="C15:O15" si="0">SUM(C3:C14)</f>
        <v>118478.07</v>
      </c>
      <c r="D15" s="8">
        <f t="shared" si="0"/>
        <v>156492.60999999999</v>
      </c>
      <c r="E15" s="8">
        <f t="shared" si="0"/>
        <v>147835.52000000002</v>
      </c>
      <c r="F15" s="8">
        <f t="shared" si="0"/>
        <v>158287.92000000001</v>
      </c>
      <c r="G15" s="8">
        <f t="shared" si="0"/>
        <v>150667.90000000002</v>
      </c>
      <c r="H15" s="13">
        <f t="shared" ref="H15" si="1">SUM(H3:H14)</f>
        <v>136088.5</v>
      </c>
      <c r="I15" s="28">
        <f>SUM(I3:I14)</f>
        <v>37966.6</v>
      </c>
      <c r="J15" s="12">
        <f t="shared" si="0"/>
        <v>23633</v>
      </c>
      <c r="K15" s="8">
        <f t="shared" si="0"/>
        <v>25208.099999999995</v>
      </c>
      <c r="L15" s="11">
        <f t="shared" si="0"/>
        <v>33918</v>
      </c>
      <c r="M15" s="8">
        <f t="shared" si="0"/>
        <v>34194</v>
      </c>
      <c r="N15" s="8">
        <f t="shared" si="0"/>
        <v>33970</v>
      </c>
      <c r="O15" s="8">
        <f t="shared" si="0"/>
        <v>32057</v>
      </c>
      <c r="P15" s="13">
        <f t="shared" ref="P15" si="2">SUM(P3:P14)</f>
        <v>28955</v>
      </c>
      <c r="Q15" s="13">
        <f>SUM(Q3:Q14)</f>
        <v>8078</v>
      </c>
    </row>
    <row r="16" spans="1:17" ht="27.95" customHeight="1" x14ac:dyDescent="0.2">
      <c r="A16" s="9" t="s">
        <v>18</v>
      </c>
      <c r="B16" s="12"/>
      <c r="C16" s="8"/>
      <c r="D16" s="8"/>
      <c r="E16" s="8"/>
      <c r="F16" s="8"/>
      <c r="G16" s="2"/>
      <c r="H16" s="26"/>
      <c r="I16" s="15"/>
      <c r="J16" s="18"/>
      <c r="K16" s="2"/>
      <c r="L16" s="2"/>
      <c r="M16" s="2"/>
      <c r="N16" s="2"/>
      <c r="O16" s="5"/>
      <c r="P16" s="27"/>
      <c r="Q16" s="19"/>
    </row>
    <row r="17" spans="1:17" ht="27.95" customHeight="1" x14ac:dyDescent="0.2">
      <c r="A17" s="9" t="s">
        <v>29</v>
      </c>
      <c r="B17" s="16"/>
      <c r="C17" s="9"/>
      <c r="D17" s="9"/>
      <c r="E17" s="9"/>
      <c r="F17" s="9"/>
      <c r="G17" s="37" t="e">
        <f>1-G16/I16</f>
        <v>#DIV/0!</v>
      </c>
      <c r="H17" s="38"/>
      <c r="I17" s="39"/>
      <c r="J17" s="20"/>
      <c r="K17" s="10"/>
      <c r="L17" s="10"/>
      <c r="M17" s="10"/>
      <c r="N17" s="10"/>
      <c r="O17" s="37" t="e">
        <f>1-O16/Q16</f>
        <v>#DIV/0!</v>
      </c>
      <c r="P17" s="38"/>
      <c r="Q17" s="39"/>
    </row>
  </sheetData>
  <mergeCells count="5">
    <mergeCell ref="A1:A2"/>
    <mergeCell ref="B1:I1"/>
    <mergeCell ref="J1:Q1"/>
    <mergeCell ref="G17:I17"/>
    <mergeCell ref="O17:Q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activeCell="Q7" sqref="Q7:Q14"/>
    </sheetView>
  </sheetViews>
  <sheetFormatPr defaultRowHeight="14.25" x14ac:dyDescent="0.2"/>
  <cols>
    <col min="1" max="1" width="22" bestFit="1" customWidth="1"/>
    <col min="2" max="7" width="13.25" bestFit="1" customWidth="1"/>
    <col min="8" max="8" width="13.25" customWidth="1"/>
    <col min="9" max="9" width="12.75" customWidth="1"/>
    <col min="10" max="10" width="10.75" customWidth="1"/>
    <col min="11" max="11" width="10.25" bestFit="1" customWidth="1"/>
    <col min="12" max="14" width="9.625" bestFit="1" customWidth="1"/>
    <col min="15" max="15" width="13.25" bestFit="1" customWidth="1"/>
    <col min="16" max="16" width="13.25" customWidth="1"/>
    <col min="17" max="17" width="13.25" bestFit="1" customWidth="1"/>
    <col min="18" max="18" width="9.375" bestFit="1" customWidth="1"/>
  </cols>
  <sheetData>
    <row r="1" spans="1:18" ht="27.95" customHeight="1" x14ac:dyDescent="0.2">
      <c r="A1" s="40" t="s">
        <v>16</v>
      </c>
      <c r="B1" s="29" t="s">
        <v>21</v>
      </c>
      <c r="C1" s="32"/>
      <c r="D1" s="32"/>
      <c r="E1" s="32"/>
      <c r="F1" s="32"/>
      <c r="G1" s="32"/>
      <c r="H1" s="32"/>
      <c r="I1" s="42"/>
      <c r="J1" s="43" t="s">
        <v>20</v>
      </c>
      <c r="K1" s="35"/>
      <c r="L1" s="35"/>
      <c r="M1" s="35"/>
      <c r="N1" s="35"/>
      <c r="O1" s="35"/>
      <c r="P1" s="35"/>
      <c r="Q1" s="44"/>
    </row>
    <row r="2" spans="1:18" ht="27.95" customHeight="1" x14ac:dyDescent="0.2">
      <c r="A2" s="41"/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12</v>
      </c>
      <c r="H2" s="24" t="s">
        <v>33</v>
      </c>
      <c r="I2" s="8" t="s">
        <v>34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12</v>
      </c>
      <c r="P2" s="24" t="s">
        <v>13</v>
      </c>
      <c r="Q2" s="8" t="s">
        <v>35</v>
      </c>
    </row>
    <row r="3" spans="1:18" ht="27.95" customHeight="1" x14ac:dyDescent="0.2">
      <c r="A3" s="8" t="s">
        <v>0</v>
      </c>
      <c r="B3" s="8">
        <v>92883.290000000008</v>
      </c>
      <c r="C3" s="8">
        <v>218754.59000000003</v>
      </c>
      <c r="D3" s="8">
        <v>234810.09999999998</v>
      </c>
      <c r="E3" s="8">
        <v>273515.87</v>
      </c>
      <c r="F3" s="8">
        <v>295507.15999999997</v>
      </c>
      <c r="G3" s="8">
        <v>307999.67000000004</v>
      </c>
      <c r="H3" s="24">
        <v>282409.71000000002</v>
      </c>
      <c r="I3" s="8">
        <f>[1]电费!$D4</f>
        <v>239670.65</v>
      </c>
      <c r="J3" s="11">
        <v>125517.95945945947</v>
      </c>
      <c r="K3" s="11">
        <v>295614.31081081083</v>
      </c>
      <c r="L3" s="8">
        <v>369700</v>
      </c>
      <c r="M3" s="8">
        <v>364280</v>
      </c>
      <c r="N3" s="8">
        <v>359640</v>
      </c>
      <c r="O3" s="22">
        <v>408360</v>
      </c>
      <c r="P3" s="22">
        <v>398240</v>
      </c>
      <c r="Q3" s="22">
        <f>[1]电费!$G4</f>
        <v>336120</v>
      </c>
    </row>
    <row r="4" spans="1:18" ht="27.95" customHeight="1" x14ac:dyDescent="0.2">
      <c r="A4" s="8" t="s">
        <v>1</v>
      </c>
      <c r="B4" s="8">
        <v>72473.56</v>
      </c>
      <c r="C4" s="8">
        <v>109074.25</v>
      </c>
      <c r="D4" s="8">
        <v>209871.91</v>
      </c>
      <c r="E4" s="8">
        <v>239376.16</v>
      </c>
      <c r="F4" s="8">
        <v>270121.90000000002</v>
      </c>
      <c r="G4" s="8">
        <v>282219.39</v>
      </c>
      <c r="H4" s="24">
        <v>243225.89</v>
      </c>
      <c r="I4" s="24">
        <f>[1]电费!$D5</f>
        <v>233626.68</v>
      </c>
      <c r="J4" s="11">
        <v>97937.24324324324</v>
      </c>
      <c r="K4" s="11">
        <v>147397.63513513515</v>
      </c>
      <c r="L4" s="8">
        <v>318660</v>
      </c>
      <c r="M4" s="8">
        <v>317920</v>
      </c>
      <c r="N4" s="8">
        <v>335160</v>
      </c>
      <c r="O4" s="22">
        <v>371040</v>
      </c>
      <c r="P4" s="22">
        <v>347320</v>
      </c>
      <c r="Q4" s="22">
        <f>[1]电费!$G5</f>
        <v>353200</v>
      </c>
    </row>
    <row r="5" spans="1:18" ht="27.95" customHeight="1" x14ac:dyDescent="0.2">
      <c r="A5" s="8" t="s">
        <v>2</v>
      </c>
      <c r="B5" s="8">
        <v>93644.63</v>
      </c>
      <c r="C5" s="8">
        <v>120594.37</v>
      </c>
      <c r="D5" s="8">
        <v>166305.65000000002</v>
      </c>
      <c r="E5" s="8">
        <v>235057.58</v>
      </c>
      <c r="F5" s="8">
        <v>267220.46999999997</v>
      </c>
      <c r="G5" s="8">
        <v>260995.18</v>
      </c>
      <c r="H5" s="24">
        <v>243952.75</v>
      </c>
      <c r="I5" s="24">
        <f>[1]电费!$D6</f>
        <v>168750.07</v>
      </c>
      <c r="J5" s="11">
        <v>126546.79729729731</v>
      </c>
      <c r="K5" s="11">
        <v>162965.36486486485</v>
      </c>
      <c r="L5" s="8">
        <v>252360</v>
      </c>
      <c r="M5" s="8">
        <v>319760</v>
      </c>
      <c r="N5" s="8">
        <v>332200</v>
      </c>
      <c r="O5" s="22">
        <v>340440</v>
      </c>
      <c r="P5" s="22">
        <v>343200</v>
      </c>
      <c r="Q5" s="22">
        <f>[1]电费!$G6</f>
        <v>251880</v>
      </c>
    </row>
    <row r="6" spans="1:18" ht="27.95" customHeight="1" x14ac:dyDescent="0.2">
      <c r="A6" s="8" t="s">
        <v>3</v>
      </c>
      <c r="B6" s="8">
        <v>166160.82</v>
      </c>
      <c r="C6" s="8">
        <v>131632.23000000001</v>
      </c>
      <c r="D6" s="8">
        <v>184896.96</v>
      </c>
      <c r="E6" s="8">
        <v>269215.23</v>
      </c>
      <c r="F6" s="8">
        <v>261746.16</v>
      </c>
      <c r="G6" s="8">
        <v>259765.89</v>
      </c>
      <c r="H6" s="24">
        <v>237155.38</v>
      </c>
      <c r="I6" s="24">
        <f>[1]电费!$D7</f>
        <v>188548.71</v>
      </c>
      <c r="J6" s="11">
        <v>224541.64864864867</v>
      </c>
      <c r="K6" s="11">
        <v>177881.39189189192</v>
      </c>
      <c r="L6" s="8">
        <v>280880</v>
      </c>
      <c r="M6" s="8">
        <v>335920</v>
      </c>
      <c r="N6" s="8">
        <v>343600</v>
      </c>
      <c r="O6" s="22">
        <v>332040</v>
      </c>
      <c r="P6" s="22">
        <v>332920</v>
      </c>
      <c r="Q6" s="22">
        <f>[1]电费!$G7</f>
        <v>277960</v>
      </c>
    </row>
    <row r="7" spans="1:18" ht="27.95" customHeight="1" x14ac:dyDescent="0.2">
      <c r="A7" s="8" t="s">
        <v>4</v>
      </c>
      <c r="B7" s="8">
        <v>135074.58000000002</v>
      </c>
      <c r="C7" s="8">
        <v>167309.98000000001</v>
      </c>
      <c r="D7" s="8">
        <v>188763.47</v>
      </c>
      <c r="E7" s="8">
        <v>226030.57</v>
      </c>
      <c r="F7" s="8">
        <v>245278.67</v>
      </c>
      <c r="G7" s="8">
        <v>252064.12</v>
      </c>
      <c r="H7" s="24">
        <v>229664.8</v>
      </c>
      <c r="I7" s="24"/>
      <c r="J7" s="11">
        <v>182533.21621621624</v>
      </c>
      <c r="K7" s="11">
        <v>226094.56756756757</v>
      </c>
      <c r="L7" s="8">
        <v>286280</v>
      </c>
      <c r="M7" s="8">
        <v>281240</v>
      </c>
      <c r="N7" s="8">
        <v>318560</v>
      </c>
      <c r="O7" s="22">
        <v>317760</v>
      </c>
      <c r="P7" s="22">
        <v>321720</v>
      </c>
      <c r="Q7" s="22"/>
    </row>
    <row r="8" spans="1:18" ht="27.95" customHeight="1" x14ac:dyDescent="0.2">
      <c r="A8" s="8" t="s">
        <v>5</v>
      </c>
      <c r="B8" s="8">
        <v>201359.84</v>
      </c>
      <c r="C8" s="8">
        <v>311262.15000000002</v>
      </c>
      <c r="D8" s="8">
        <v>201865.16999999998</v>
      </c>
      <c r="E8" s="8">
        <v>294672.94</v>
      </c>
      <c r="F8" s="8">
        <v>330301.71999999997</v>
      </c>
      <c r="G8" s="8">
        <v>317608.87</v>
      </c>
      <c r="H8" s="24">
        <v>283287.86</v>
      </c>
      <c r="I8" s="24"/>
      <c r="J8" s="11">
        <v>272107.89189189189</v>
      </c>
      <c r="K8" s="11">
        <v>420624.52702702704</v>
      </c>
      <c r="L8" s="8">
        <v>358840</v>
      </c>
      <c r="M8" s="8">
        <v>378600</v>
      </c>
      <c r="N8" s="8">
        <v>421120</v>
      </c>
      <c r="O8" s="22">
        <v>412480</v>
      </c>
      <c r="P8" s="22">
        <v>415040</v>
      </c>
      <c r="Q8" s="22"/>
    </row>
    <row r="9" spans="1:18" ht="27.95" customHeight="1" x14ac:dyDescent="0.2">
      <c r="A9" s="8" t="s">
        <v>6</v>
      </c>
      <c r="B9" s="8">
        <v>246374.49</v>
      </c>
      <c r="C9" s="8">
        <v>313965.95</v>
      </c>
      <c r="D9" s="8">
        <v>372989.63</v>
      </c>
      <c r="E9" s="8">
        <v>430396.83</v>
      </c>
      <c r="F9" s="8">
        <v>415790.01</v>
      </c>
      <c r="G9" s="8">
        <v>390100.81</v>
      </c>
      <c r="H9" s="24">
        <v>354695.23</v>
      </c>
      <c r="I9" s="24"/>
      <c r="J9" s="11">
        <v>332938.5</v>
      </c>
      <c r="K9" s="11">
        <v>424278.31081081083</v>
      </c>
      <c r="L9" s="8">
        <v>576000</v>
      </c>
      <c r="M9" s="8">
        <v>560360</v>
      </c>
      <c r="N9" s="8">
        <v>532760</v>
      </c>
      <c r="O9" s="22">
        <v>515560</v>
      </c>
      <c r="P9" s="22">
        <v>513040</v>
      </c>
      <c r="Q9" s="22"/>
    </row>
    <row r="10" spans="1:18" ht="27.95" customHeight="1" x14ac:dyDescent="0.2">
      <c r="A10" s="8" t="s">
        <v>7</v>
      </c>
      <c r="B10" s="8">
        <v>329804.64</v>
      </c>
      <c r="C10" s="8">
        <v>328035.71000000002</v>
      </c>
      <c r="D10" s="8">
        <v>350166.63</v>
      </c>
      <c r="E10" s="8">
        <v>448978.88</v>
      </c>
      <c r="F10" s="8">
        <v>449086.41000000003</v>
      </c>
      <c r="G10" s="8">
        <v>495479.29000000004</v>
      </c>
      <c r="H10" s="24">
        <v>420320.06000000006</v>
      </c>
      <c r="I10" s="24"/>
      <c r="J10" s="11">
        <v>445681.94594594598</v>
      </c>
      <c r="K10" s="11">
        <v>443291.50000000006</v>
      </c>
      <c r="L10" s="8">
        <v>541800</v>
      </c>
      <c r="M10" s="8">
        <v>593560</v>
      </c>
      <c r="N10" s="8">
        <v>581960</v>
      </c>
      <c r="O10" s="22">
        <v>656080</v>
      </c>
      <c r="P10" s="22">
        <v>601320</v>
      </c>
      <c r="Q10" s="22"/>
    </row>
    <row r="11" spans="1:18" ht="27.95" customHeight="1" x14ac:dyDescent="0.2">
      <c r="A11" s="8" t="s">
        <v>8</v>
      </c>
      <c r="B11" s="8">
        <v>275702.34999999998</v>
      </c>
      <c r="C11" s="8">
        <v>185513.32</v>
      </c>
      <c r="D11" s="8">
        <v>347154.8</v>
      </c>
      <c r="E11" s="8">
        <v>472309.85</v>
      </c>
      <c r="F11" s="8">
        <v>433375.68</v>
      </c>
      <c r="G11" s="8">
        <v>488244.03</v>
      </c>
      <c r="H11" s="24">
        <v>400531.65</v>
      </c>
      <c r="I11" s="24"/>
      <c r="J11" s="11">
        <v>372570.7432432432</v>
      </c>
      <c r="K11" s="11">
        <v>250693.67567567568</v>
      </c>
      <c r="L11" s="8">
        <v>536760</v>
      </c>
      <c r="M11" s="8">
        <v>547920</v>
      </c>
      <c r="N11" s="8">
        <v>544320</v>
      </c>
      <c r="O11" s="22">
        <v>642760</v>
      </c>
      <c r="P11" s="23">
        <v>565880</v>
      </c>
      <c r="Q11" s="22"/>
    </row>
    <row r="12" spans="1:18" ht="27.95" customHeight="1" x14ac:dyDescent="0.2">
      <c r="A12" s="8" t="s">
        <v>9</v>
      </c>
      <c r="B12" s="8">
        <v>172083.79</v>
      </c>
      <c r="C12" s="8">
        <v>148593.83000000002</v>
      </c>
      <c r="D12" s="8">
        <v>261801.82</v>
      </c>
      <c r="E12" s="8">
        <v>294001.38</v>
      </c>
      <c r="F12" s="8">
        <v>289710.81</v>
      </c>
      <c r="G12" s="8">
        <v>287425.83</v>
      </c>
      <c r="H12" s="24">
        <v>330425.74</v>
      </c>
      <c r="I12" s="24"/>
      <c r="J12" s="11">
        <v>232545.66216216219</v>
      </c>
      <c r="K12" s="11">
        <v>200802.47297297299</v>
      </c>
      <c r="L12" s="8">
        <v>408080</v>
      </c>
      <c r="M12" s="8">
        <v>347120</v>
      </c>
      <c r="N12" s="8">
        <v>377680</v>
      </c>
      <c r="O12" s="22">
        <v>379400</v>
      </c>
      <c r="P12" s="23">
        <v>460640</v>
      </c>
      <c r="Q12" s="22"/>
    </row>
    <row r="13" spans="1:18" ht="27.95" customHeight="1" x14ac:dyDescent="0.2">
      <c r="A13" s="8" t="s">
        <v>10</v>
      </c>
      <c r="B13" s="8">
        <v>164461.13</v>
      </c>
      <c r="C13" s="8">
        <v>161537.01</v>
      </c>
      <c r="D13" s="8">
        <v>198568.08000000002</v>
      </c>
      <c r="E13" s="8">
        <v>239347</v>
      </c>
      <c r="F13" s="8">
        <v>267091.77</v>
      </c>
      <c r="G13" s="8">
        <v>254392.88999999998</v>
      </c>
      <c r="H13" s="24">
        <v>230163.26</v>
      </c>
      <c r="I13" s="24"/>
      <c r="J13" s="11">
        <v>222244.77027027027</v>
      </c>
      <c r="K13" s="11">
        <v>218293.25675675677</v>
      </c>
      <c r="L13" s="8">
        <v>296960</v>
      </c>
      <c r="M13" s="8">
        <v>310400</v>
      </c>
      <c r="N13" s="8">
        <v>356240</v>
      </c>
      <c r="O13" s="22">
        <v>334200</v>
      </c>
      <c r="P13" s="23">
        <v>334360</v>
      </c>
      <c r="Q13" s="22"/>
    </row>
    <row r="14" spans="1:18" ht="27.95" customHeight="1" x14ac:dyDescent="0.2">
      <c r="A14" s="8" t="s">
        <v>11</v>
      </c>
      <c r="B14" s="8">
        <v>165177.31</v>
      </c>
      <c r="C14" s="8">
        <v>93955.79</v>
      </c>
      <c r="D14" s="8">
        <v>216882.63</v>
      </c>
      <c r="E14" s="8">
        <v>262640.8</v>
      </c>
      <c r="F14" s="8">
        <v>264268.62</v>
      </c>
      <c r="G14" s="8">
        <v>240924.75</v>
      </c>
      <c r="H14" s="24">
        <v>230676.41</v>
      </c>
      <c r="I14" s="24"/>
      <c r="J14" s="11">
        <v>223212.58108108109</v>
      </c>
      <c r="K14" s="11">
        <v>126967.28378378377</v>
      </c>
      <c r="L14" s="8">
        <v>311320</v>
      </c>
      <c r="M14" s="8">
        <v>346560</v>
      </c>
      <c r="N14" s="8">
        <v>350880</v>
      </c>
      <c r="O14" s="22">
        <v>323160</v>
      </c>
      <c r="P14" s="23">
        <v>304280</v>
      </c>
      <c r="Q14" s="22"/>
    </row>
    <row r="15" spans="1:18" ht="27.95" customHeight="1" x14ac:dyDescent="0.2">
      <c r="A15" s="8" t="s">
        <v>17</v>
      </c>
      <c r="B15" s="8">
        <f>SUM(B3:B14)</f>
        <v>2115200.4300000002</v>
      </c>
      <c r="C15" s="8">
        <f t="shared" ref="C15:N15" si="0">SUM(C3:C14)</f>
        <v>2290229.1800000002</v>
      </c>
      <c r="D15" s="8">
        <f t="shared" si="0"/>
        <v>2934076.8499999996</v>
      </c>
      <c r="E15" s="8">
        <f t="shared" si="0"/>
        <v>3685543.09</v>
      </c>
      <c r="F15" s="8">
        <f t="shared" si="0"/>
        <v>3789499.3800000004</v>
      </c>
      <c r="G15" s="8">
        <f>SUM(G3:G14)</f>
        <v>3837220.72</v>
      </c>
      <c r="H15" s="24">
        <v>3486508.74</v>
      </c>
      <c r="I15" s="8">
        <f>SUM(I3:I14)</f>
        <v>830596.10999999987</v>
      </c>
      <c r="J15" s="11">
        <f t="shared" si="0"/>
        <v>2858378.9594594599</v>
      </c>
      <c r="K15" s="11">
        <f t="shared" si="0"/>
        <v>3094904.2972972975</v>
      </c>
      <c r="L15" s="8">
        <f t="shared" si="0"/>
        <v>4537640</v>
      </c>
      <c r="M15" s="8">
        <f t="shared" si="0"/>
        <v>4703640</v>
      </c>
      <c r="N15" s="8">
        <f t="shared" si="0"/>
        <v>4854120</v>
      </c>
      <c r="O15" s="22">
        <f>SUM(O3:O14)</f>
        <v>5033280</v>
      </c>
      <c r="P15" s="22">
        <f>SUM(P3:P14)</f>
        <v>4937960</v>
      </c>
      <c r="Q15" s="22">
        <f>SUM(Q3:Q14)</f>
        <v>1219160</v>
      </c>
      <c r="R15" s="25"/>
    </row>
    <row r="16" spans="1:18" ht="27.95" customHeight="1" x14ac:dyDescent="0.2">
      <c r="A16" s="8" t="s">
        <v>18</v>
      </c>
      <c r="B16" s="8"/>
      <c r="C16" s="8"/>
      <c r="D16" s="8"/>
      <c r="E16" s="8"/>
      <c r="F16" s="8"/>
      <c r="G16" s="2"/>
      <c r="H16" s="2"/>
      <c r="I16" s="3"/>
      <c r="J16" s="2"/>
      <c r="K16" s="2"/>
      <c r="L16" s="2"/>
      <c r="M16" s="2"/>
      <c r="N16" s="2"/>
      <c r="O16" s="5"/>
      <c r="P16" s="5"/>
      <c r="Q16" s="4"/>
    </row>
    <row r="17" spans="1:17" ht="27.95" customHeight="1" x14ac:dyDescent="0.2">
      <c r="A17" s="8" t="s">
        <v>27</v>
      </c>
      <c r="B17" s="9"/>
      <c r="C17" s="9"/>
      <c r="D17" s="9"/>
      <c r="E17" s="9"/>
      <c r="F17" s="9"/>
      <c r="G17" s="37"/>
      <c r="H17" s="38"/>
      <c r="I17" s="45"/>
      <c r="J17" s="10"/>
      <c r="K17" s="10"/>
      <c r="L17" s="10"/>
      <c r="M17" s="10"/>
      <c r="N17" s="10"/>
      <c r="O17" s="37">
        <v>-0.02</v>
      </c>
      <c r="P17" s="38"/>
      <c r="Q17" s="45"/>
    </row>
  </sheetData>
  <mergeCells count="5">
    <mergeCell ref="A1:A2"/>
    <mergeCell ref="B1:I1"/>
    <mergeCell ref="J1:Q1"/>
    <mergeCell ref="G17:I17"/>
    <mergeCell ref="O17:Q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topLeftCell="B1" workbookViewId="0">
      <selection activeCell="Q7" sqref="Q7:Q14"/>
    </sheetView>
  </sheetViews>
  <sheetFormatPr defaultRowHeight="14.25" x14ac:dyDescent="0.2"/>
  <cols>
    <col min="1" max="1" width="22" bestFit="1" customWidth="1"/>
    <col min="2" max="2" width="12" bestFit="1" customWidth="1"/>
    <col min="3" max="3" width="14.375" customWidth="1"/>
    <col min="4" max="4" width="13.25" customWidth="1"/>
    <col min="5" max="5" width="15.125" customWidth="1"/>
    <col min="6" max="6" width="14.625" customWidth="1"/>
    <col min="7" max="7" width="13.25" bestFit="1" customWidth="1"/>
    <col min="8" max="8" width="13.25" customWidth="1"/>
    <col min="9" max="9" width="13.25" bestFit="1" customWidth="1"/>
    <col min="10" max="14" width="13.25" customWidth="1"/>
    <col min="15" max="15" width="13.25" bestFit="1" customWidth="1"/>
    <col min="16" max="16" width="13.25" customWidth="1"/>
    <col min="17" max="17" width="13.25" bestFit="1" customWidth="1"/>
    <col min="18" max="18" width="19.75" customWidth="1"/>
  </cols>
  <sheetData>
    <row r="1" spans="1:18" ht="27.95" customHeight="1" x14ac:dyDescent="0.2">
      <c r="A1" s="40" t="s">
        <v>16</v>
      </c>
      <c r="B1" s="29" t="s">
        <v>21</v>
      </c>
      <c r="C1" s="32"/>
      <c r="D1" s="32"/>
      <c r="E1" s="32"/>
      <c r="F1" s="32"/>
      <c r="G1" s="32"/>
      <c r="H1" s="32"/>
      <c r="I1" s="42"/>
      <c r="J1" s="43" t="s">
        <v>19</v>
      </c>
      <c r="K1" s="35"/>
      <c r="L1" s="35"/>
      <c r="M1" s="35"/>
      <c r="N1" s="35"/>
      <c r="O1" s="35"/>
      <c r="P1" s="35"/>
      <c r="Q1" s="44"/>
      <c r="R1" s="1" t="s">
        <v>15</v>
      </c>
    </row>
    <row r="2" spans="1:18" ht="27.95" customHeight="1" x14ac:dyDescent="0.2">
      <c r="A2" s="41"/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12</v>
      </c>
      <c r="H2" s="1" t="s">
        <v>13</v>
      </c>
      <c r="I2" s="24" t="s">
        <v>32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1" t="s">
        <v>12</v>
      </c>
      <c r="P2" s="1" t="s">
        <v>14</v>
      </c>
      <c r="Q2" s="24" t="s">
        <v>31</v>
      </c>
      <c r="R2" s="46"/>
    </row>
    <row r="3" spans="1:18" ht="27.95" customHeight="1" x14ac:dyDescent="0.2">
      <c r="A3" s="1" t="s">
        <v>0</v>
      </c>
      <c r="B3" s="8">
        <v>0</v>
      </c>
      <c r="C3" s="8">
        <v>116432.46</v>
      </c>
      <c r="D3" s="8">
        <v>134730.39000000001</v>
      </c>
      <c r="E3" s="8">
        <v>164574.07999999999</v>
      </c>
      <c r="F3" s="8">
        <v>170336.11</v>
      </c>
      <c r="G3" s="1">
        <v>199812.36</v>
      </c>
      <c r="H3" s="1">
        <v>229241.99999999997</v>
      </c>
      <c r="I3" s="24">
        <f>[1]燃气费!$F2</f>
        <v>117228.15000000002</v>
      </c>
      <c r="J3" s="11">
        <f t="shared" ref="J3:J14" si="0">B3/3.9</f>
        <v>0</v>
      </c>
      <c r="K3" s="11">
        <f t="shared" ref="K3:K14" si="1">C3/3.9</f>
        <v>29854.476923076927</v>
      </c>
      <c r="L3" s="8">
        <v>41547</v>
      </c>
      <c r="M3" s="8">
        <v>34144</v>
      </c>
      <c r="N3" s="8">
        <v>36319</v>
      </c>
      <c r="O3" s="22">
        <v>47802</v>
      </c>
      <c r="P3" s="22">
        <v>58780</v>
      </c>
      <c r="Q3" s="24">
        <f>[1]燃气费!$M2</f>
        <v>31095</v>
      </c>
      <c r="R3" s="47"/>
    </row>
    <row r="4" spans="1:18" ht="27.95" customHeight="1" x14ac:dyDescent="0.2">
      <c r="A4" s="1" t="s">
        <v>1</v>
      </c>
      <c r="B4" s="8">
        <v>0</v>
      </c>
      <c r="C4" s="8">
        <v>41129.019999999997</v>
      </c>
      <c r="D4" s="8">
        <v>108960.93</v>
      </c>
      <c r="E4" s="8">
        <v>184779.51999999999</v>
      </c>
      <c r="F4" s="8">
        <v>193195.17</v>
      </c>
      <c r="G4" s="1">
        <v>71168.680000000008</v>
      </c>
      <c r="H4" s="1">
        <v>169841.09999999998</v>
      </c>
      <c r="I4" s="24">
        <f>[1]燃气费!$F3</f>
        <v>153205.26</v>
      </c>
      <c r="J4" s="11">
        <f t="shared" si="0"/>
        <v>0</v>
      </c>
      <c r="K4" s="11">
        <f t="shared" si="1"/>
        <v>10545.902564102564</v>
      </c>
      <c r="L4" s="8">
        <v>32721</v>
      </c>
      <c r="M4" s="8">
        <v>38336</v>
      </c>
      <c r="N4" s="8">
        <v>41193</v>
      </c>
      <c r="O4" s="22">
        <v>17026</v>
      </c>
      <c r="P4" s="22">
        <v>43549</v>
      </c>
      <c r="Q4" s="24">
        <f>[1]燃气费!$M3</f>
        <v>40638</v>
      </c>
      <c r="R4" s="47"/>
    </row>
    <row r="5" spans="1:18" ht="27.95" customHeight="1" x14ac:dyDescent="0.2">
      <c r="A5" s="1" t="s">
        <v>2</v>
      </c>
      <c r="B5" s="8">
        <v>10115.950000000001</v>
      </c>
      <c r="C5" s="8">
        <v>3820.87</v>
      </c>
      <c r="D5" s="8">
        <v>61225.380000000005</v>
      </c>
      <c r="E5" s="8">
        <v>82788.319999999992</v>
      </c>
      <c r="F5" s="8">
        <v>81884.59</v>
      </c>
      <c r="G5" s="1">
        <v>114268.65999999999</v>
      </c>
      <c r="H5" s="1">
        <v>156374.39999999997</v>
      </c>
      <c r="I5" s="24">
        <f>[1]燃气费!$F4</f>
        <v>54698.93</v>
      </c>
      <c r="J5" s="11">
        <f t="shared" si="0"/>
        <v>2593.8333333333335</v>
      </c>
      <c r="K5" s="11">
        <f t="shared" si="1"/>
        <v>979.71025641025642</v>
      </c>
      <c r="L5" s="8">
        <v>18386</v>
      </c>
      <c r="M5" s="8">
        <v>17176</v>
      </c>
      <c r="N5" s="8">
        <v>19382</v>
      </c>
      <c r="O5" s="22">
        <v>27337</v>
      </c>
      <c r="P5" s="22">
        <v>40096</v>
      </c>
      <c r="Q5" s="24">
        <f>[1]燃气费!$M4</f>
        <v>14509</v>
      </c>
      <c r="R5" s="47"/>
    </row>
    <row r="6" spans="1:18" ht="27.95" customHeight="1" x14ac:dyDescent="0.2">
      <c r="A6" s="1" t="s">
        <v>3</v>
      </c>
      <c r="B6" s="8">
        <v>13102.15</v>
      </c>
      <c r="C6" s="8">
        <v>9046.17</v>
      </c>
      <c r="D6" s="8">
        <v>30619.35</v>
      </c>
      <c r="E6" s="8">
        <v>42825.700000000004</v>
      </c>
      <c r="F6" s="8">
        <v>21741.64</v>
      </c>
      <c r="G6" s="1">
        <v>21138.260000000002</v>
      </c>
      <c r="H6" s="1">
        <v>27206.400000000001</v>
      </c>
      <c r="I6" s="24">
        <f>[1]燃气费!$F5</f>
        <v>12791.61</v>
      </c>
      <c r="J6" s="11">
        <f t="shared" si="0"/>
        <v>3359.5256410256411</v>
      </c>
      <c r="K6" s="11">
        <f t="shared" si="1"/>
        <v>2319.5307692307692</v>
      </c>
      <c r="L6" s="8">
        <v>9195</v>
      </c>
      <c r="M6" s="8">
        <v>8885</v>
      </c>
      <c r="N6" s="8">
        <v>4707</v>
      </c>
      <c r="O6" s="22">
        <v>5057</v>
      </c>
      <c r="P6" s="22">
        <v>6976</v>
      </c>
      <c r="Q6" s="24">
        <f>[1]燃气费!$M5</f>
        <v>3393</v>
      </c>
      <c r="R6" s="47"/>
    </row>
    <row r="7" spans="1:18" ht="27.95" customHeight="1" x14ac:dyDescent="0.2">
      <c r="A7" s="1" t="s">
        <v>4</v>
      </c>
      <c r="B7" s="8">
        <v>14441.2</v>
      </c>
      <c r="C7" s="8">
        <v>12533.84</v>
      </c>
      <c r="D7" s="8">
        <v>11075.64</v>
      </c>
      <c r="E7" s="8">
        <v>19516.18</v>
      </c>
      <c r="F7" s="8">
        <v>18570.57</v>
      </c>
      <c r="G7" s="1">
        <v>21397.42</v>
      </c>
      <c r="H7" s="1">
        <v>14820</v>
      </c>
      <c r="I7" s="24"/>
      <c r="J7" s="11">
        <f t="shared" si="0"/>
        <v>3702.8717948717949</v>
      </c>
      <c r="K7" s="11">
        <f t="shared" si="1"/>
        <v>3213.8051282051283</v>
      </c>
      <c r="L7" s="8">
        <v>3756</v>
      </c>
      <c r="M7" s="8">
        <v>4049</v>
      </c>
      <c r="N7" s="8">
        <v>4700</v>
      </c>
      <c r="O7" s="22">
        <v>5119</v>
      </c>
      <c r="P7" s="22">
        <v>3800</v>
      </c>
      <c r="Q7" s="24"/>
      <c r="R7" s="47"/>
    </row>
    <row r="8" spans="1:18" ht="27.95" customHeight="1" x14ac:dyDescent="0.2">
      <c r="A8" s="1" t="s">
        <v>5</v>
      </c>
      <c r="B8" s="8">
        <v>9462.7199999999993</v>
      </c>
      <c r="C8" s="8">
        <v>13406.88</v>
      </c>
      <c r="D8" s="8">
        <v>14112.029999999999</v>
      </c>
      <c r="E8" s="8">
        <v>24128.920000000002</v>
      </c>
      <c r="F8" s="8">
        <v>18807.599999999999</v>
      </c>
      <c r="G8" s="1">
        <v>19186.2</v>
      </c>
      <c r="H8" s="1">
        <v>16894.8</v>
      </c>
      <c r="I8" s="24"/>
      <c r="J8" s="11">
        <f t="shared" si="0"/>
        <v>2426.3384615384616</v>
      </c>
      <c r="K8" s="11">
        <f t="shared" si="1"/>
        <v>3437.6615384615384</v>
      </c>
      <c r="L8" s="8">
        <v>4567</v>
      </c>
      <c r="M8" s="8">
        <v>5006</v>
      </c>
      <c r="N8" s="8">
        <v>4478</v>
      </c>
      <c r="O8" s="22">
        <v>4590</v>
      </c>
      <c r="P8" s="22">
        <v>4332</v>
      </c>
      <c r="Q8" s="24"/>
      <c r="R8" s="47"/>
    </row>
    <row r="9" spans="1:18" ht="27.95" customHeight="1" x14ac:dyDescent="0.2">
      <c r="A9" s="1" t="s">
        <v>6</v>
      </c>
      <c r="B9" s="8">
        <v>16546.86</v>
      </c>
      <c r="C9" s="8">
        <v>11070.54</v>
      </c>
      <c r="D9" s="8">
        <v>13534.2</v>
      </c>
      <c r="E9" s="8">
        <v>22017.760000000002</v>
      </c>
      <c r="F9" s="8">
        <v>16820.32</v>
      </c>
      <c r="G9" s="1">
        <v>20186.400000000001</v>
      </c>
      <c r="H9" s="1">
        <v>18638.100000000002</v>
      </c>
      <c r="I9" s="24"/>
      <c r="J9" s="11">
        <f t="shared" si="0"/>
        <v>4242.7846153846158</v>
      </c>
      <c r="K9" s="11">
        <f t="shared" si="1"/>
        <v>2838.6000000000004</v>
      </c>
      <c r="L9" s="8">
        <v>4380</v>
      </c>
      <c r="M9" s="8">
        <v>4568</v>
      </c>
      <c r="N9" s="8">
        <v>4024</v>
      </c>
      <c r="O9" s="22">
        <v>5176</v>
      </c>
      <c r="P9" s="22">
        <v>4779</v>
      </c>
      <c r="Q9" s="24"/>
      <c r="R9" s="47"/>
    </row>
    <row r="10" spans="1:18" ht="27.95" customHeight="1" x14ac:dyDescent="0.2">
      <c r="A10" s="1" t="s">
        <v>7</v>
      </c>
      <c r="B10" s="8">
        <v>15942.96</v>
      </c>
      <c r="C10" s="8">
        <v>9619.19</v>
      </c>
      <c r="D10" s="8">
        <v>13651.619999999999</v>
      </c>
      <c r="E10" s="8">
        <v>25155.58</v>
      </c>
      <c r="F10" s="8">
        <v>20736.98</v>
      </c>
      <c r="G10" s="1">
        <v>18848.7</v>
      </c>
      <c r="H10" s="1">
        <v>13786.5</v>
      </c>
      <c r="I10" s="24"/>
      <c r="J10" s="11">
        <f t="shared" si="0"/>
        <v>4087.9384615384615</v>
      </c>
      <c r="K10" s="11">
        <f t="shared" si="1"/>
        <v>2466.4589743589745</v>
      </c>
      <c r="L10" s="8">
        <v>4418</v>
      </c>
      <c r="M10" s="8">
        <v>5219</v>
      </c>
      <c r="N10" s="8">
        <v>4961</v>
      </c>
      <c r="O10" s="22">
        <v>4833</v>
      </c>
      <c r="P10" s="22">
        <v>3535</v>
      </c>
      <c r="Q10" s="24"/>
      <c r="R10" s="47"/>
    </row>
    <row r="11" spans="1:18" ht="27.95" customHeight="1" x14ac:dyDescent="0.2">
      <c r="A11" s="1" t="s">
        <v>8</v>
      </c>
      <c r="B11" s="8">
        <v>11602.26</v>
      </c>
      <c r="C11" s="8">
        <v>12981.15</v>
      </c>
      <c r="D11" s="8">
        <v>14847.45</v>
      </c>
      <c r="E11" s="8">
        <v>20934.59</v>
      </c>
      <c r="F11" s="8">
        <v>16949.900000000001</v>
      </c>
      <c r="G11" s="1">
        <v>17448.599999999999</v>
      </c>
      <c r="H11" s="1">
        <v>14309.099999999999</v>
      </c>
      <c r="I11" s="24"/>
      <c r="J11" s="11">
        <f t="shared" si="0"/>
        <v>2974.9384615384615</v>
      </c>
      <c r="K11" s="11">
        <f t="shared" si="1"/>
        <v>3328.5</v>
      </c>
      <c r="L11" s="8">
        <v>4805</v>
      </c>
      <c r="M11" s="8">
        <v>4411</v>
      </c>
      <c r="N11" s="8">
        <v>4055</v>
      </c>
      <c r="O11" s="22">
        <v>4474</v>
      </c>
      <c r="P11" s="22">
        <v>3669</v>
      </c>
      <c r="Q11" s="24"/>
      <c r="R11" s="47"/>
    </row>
    <row r="12" spans="1:18" ht="27.95" customHeight="1" x14ac:dyDescent="0.2">
      <c r="A12" s="1" t="s">
        <v>9</v>
      </c>
      <c r="B12" s="8">
        <v>10912.37</v>
      </c>
      <c r="C12" s="8">
        <v>10450.44</v>
      </c>
      <c r="D12" s="8">
        <v>9078.42</v>
      </c>
      <c r="E12" s="8">
        <v>20762.63</v>
      </c>
      <c r="F12" s="8">
        <v>14354.119999999999</v>
      </c>
      <c r="G12" s="1">
        <v>17241.900000000001</v>
      </c>
      <c r="H12" s="1">
        <v>10137.009999999998</v>
      </c>
      <c r="I12" s="24"/>
      <c r="J12" s="11">
        <f t="shared" si="0"/>
        <v>2798.04358974359</v>
      </c>
      <c r="K12" s="11">
        <f t="shared" si="1"/>
        <v>2679.6000000000004</v>
      </c>
      <c r="L12" s="8">
        <v>2938</v>
      </c>
      <c r="M12" s="8">
        <v>4427</v>
      </c>
      <c r="N12" s="8">
        <v>3434</v>
      </c>
      <c r="O12" s="22">
        <v>4421</v>
      </c>
      <c r="P12" s="22">
        <v>2754</v>
      </c>
      <c r="Q12" s="24"/>
      <c r="R12" s="47"/>
    </row>
    <row r="13" spans="1:18" ht="27.95" customHeight="1" x14ac:dyDescent="0.2">
      <c r="A13" s="1" t="s">
        <v>10</v>
      </c>
      <c r="B13" s="8">
        <v>10973.5</v>
      </c>
      <c r="C13" s="8">
        <v>19317.489999999998</v>
      </c>
      <c r="D13" s="8">
        <v>18844.39</v>
      </c>
      <c r="E13" s="8">
        <v>25363.52</v>
      </c>
      <c r="F13" s="8">
        <v>21560.440000000002</v>
      </c>
      <c r="G13" s="1">
        <v>17526.600000000002</v>
      </c>
      <c r="H13" s="1">
        <v>15434.38</v>
      </c>
      <c r="I13" s="24"/>
      <c r="J13" s="11">
        <f t="shared" si="0"/>
        <v>2813.7179487179487</v>
      </c>
      <c r="K13" s="11">
        <f t="shared" si="1"/>
        <v>4953.2025641025639</v>
      </c>
      <c r="L13" s="8">
        <v>4317</v>
      </c>
      <c r="M13" s="8">
        <v>5408</v>
      </c>
      <c r="N13" s="8">
        <v>5158</v>
      </c>
      <c r="O13" s="22">
        <v>4494</v>
      </c>
      <c r="P13" s="22">
        <v>4094</v>
      </c>
      <c r="Q13" s="24"/>
      <c r="R13" s="47"/>
    </row>
    <row r="14" spans="1:18" ht="27.95" customHeight="1" x14ac:dyDescent="0.2">
      <c r="A14" s="1" t="s">
        <v>11</v>
      </c>
      <c r="B14" s="8">
        <v>130711.88</v>
      </c>
      <c r="C14" s="8">
        <v>110377.13</v>
      </c>
      <c r="D14" s="8">
        <v>80956.72</v>
      </c>
      <c r="E14" s="8">
        <v>141197.13999999998</v>
      </c>
      <c r="F14" s="8">
        <v>13338.38</v>
      </c>
      <c r="G14" s="1">
        <v>19531.2</v>
      </c>
      <c r="H14" s="1">
        <v>37458.720000000001</v>
      </c>
      <c r="I14" s="24"/>
      <c r="J14" s="11">
        <f t="shared" si="0"/>
        <v>33515.866666666669</v>
      </c>
      <c r="K14" s="11">
        <f t="shared" si="1"/>
        <v>28301.828205128208</v>
      </c>
      <c r="L14" s="8">
        <v>16796</v>
      </c>
      <c r="M14" s="8">
        <v>30106</v>
      </c>
      <c r="N14" s="8">
        <v>3191</v>
      </c>
      <c r="O14" s="22">
        <v>5008</v>
      </c>
      <c r="P14" s="22">
        <v>9936</v>
      </c>
      <c r="Q14" s="24"/>
      <c r="R14" s="47"/>
    </row>
    <row r="15" spans="1:18" ht="27.95" customHeight="1" x14ac:dyDescent="0.2">
      <c r="A15" s="1" t="s">
        <v>17</v>
      </c>
      <c r="B15" s="8">
        <f>SUM(B3:B14)</f>
        <v>243811.84999999998</v>
      </c>
      <c r="C15" s="8">
        <f t="shared" ref="C15:O15" si="2">SUM(C3:C14)</f>
        <v>370185.18000000005</v>
      </c>
      <c r="D15" s="8">
        <f t="shared" si="2"/>
        <v>511636.52</v>
      </c>
      <c r="E15" s="8">
        <f t="shared" si="2"/>
        <v>774043.94</v>
      </c>
      <c r="F15" s="8">
        <f t="shared" si="2"/>
        <v>608295.81999999995</v>
      </c>
      <c r="G15" s="8">
        <f t="shared" si="2"/>
        <v>557754.98</v>
      </c>
      <c r="H15" s="8">
        <f>SUM(H3:H14)</f>
        <v>724142.51</v>
      </c>
      <c r="I15" s="24">
        <f>SUM(I3:I14)</f>
        <v>337923.95</v>
      </c>
      <c r="J15" s="11">
        <f t="shared" si="2"/>
        <v>62515.858974358984</v>
      </c>
      <c r="K15" s="11">
        <f t="shared" si="2"/>
        <v>94919.276923076919</v>
      </c>
      <c r="L15" s="8">
        <f t="shared" si="2"/>
        <v>147826</v>
      </c>
      <c r="M15" s="8">
        <f t="shared" si="2"/>
        <v>161735</v>
      </c>
      <c r="N15" s="8">
        <f t="shared" si="2"/>
        <v>135602</v>
      </c>
      <c r="O15" s="8">
        <f t="shared" si="2"/>
        <v>135337</v>
      </c>
      <c r="P15" s="8">
        <f>SUM(P3:P14)</f>
        <v>186300</v>
      </c>
      <c r="Q15" s="24">
        <f>SUM(Q3:Q14)</f>
        <v>89635</v>
      </c>
      <c r="R15" s="47"/>
    </row>
    <row r="16" spans="1:18" ht="27.95" customHeight="1" x14ac:dyDescent="0.2">
      <c r="A16" s="1" t="s">
        <v>18</v>
      </c>
      <c r="B16" s="8"/>
      <c r="C16" s="8"/>
      <c r="D16" s="8"/>
      <c r="E16" s="8"/>
      <c r="F16" s="8"/>
      <c r="G16" s="3"/>
      <c r="H16" s="3"/>
      <c r="I16" s="2"/>
      <c r="J16" s="2"/>
      <c r="K16" s="2"/>
      <c r="L16" s="2"/>
      <c r="M16" s="2"/>
      <c r="N16" s="2"/>
      <c r="O16" s="4"/>
      <c r="P16" s="4"/>
      <c r="Q16" s="5"/>
      <c r="R16" s="47"/>
    </row>
    <row r="17" spans="1:18" ht="27.95" customHeight="1" x14ac:dyDescent="0.2">
      <c r="A17" s="1" t="s">
        <v>30</v>
      </c>
      <c r="B17" s="9"/>
      <c r="C17" s="9"/>
      <c r="D17" s="9"/>
      <c r="E17" s="9"/>
      <c r="F17" s="9"/>
      <c r="G17" s="49"/>
      <c r="H17" s="50"/>
      <c r="I17" s="51"/>
      <c r="J17" s="10"/>
      <c r="K17" s="10"/>
      <c r="L17" s="10"/>
      <c r="M17" s="10"/>
      <c r="N17" s="10"/>
      <c r="O17" s="49"/>
      <c r="P17" s="50"/>
      <c r="Q17" s="51"/>
      <c r="R17" s="48"/>
    </row>
  </sheetData>
  <mergeCells count="6">
    <mergeCell ref="A1:A2"/>
    <mergeCell ref="R2:R17"/>
    <mergeCell ref="G17:I17"/>
    <mergeCell ref="O17:Q17"/>
    <mergeCell ref="B1:I1"/>
    <mergeCell ref="J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水费</vt:lpstr>
      <vt:lpstr>电费</vt:lpstr>
      <vt:lpstr>燃气费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2026-05-08T01:52:26Z</dcterms:modified>
</cp:coreProperties>
</file>