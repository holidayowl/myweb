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滨江大楼\2026\能耗\"/>
    </mc:Choice>
  </mc:AlternateContent>
  <bookViews>
    <workbookView xWindow="0" yWindow="0" windowWidth="19815" windowHeight="8010" activeTab="2"/>
  </bookViews>
  <sheets>
    <sheet name="水费" sheetId="9" r:id="rId1"/>
    <sheet name="电费" sheetId="1" r:id="rId2"/>
    <sheet name="燃气费" sheetId="7" r:id="rId3"/>
  </sheets>
  <calcPr calcId="162913"/>
</workbook>
</file>

<file path=xl/calcChain.xml><?xml version="1.0" encoding="utf-8"?>
<calcChain xmlns="http://schemas.openxmlformats.org/spreadsheetml/2006/main">
  <c r="F3" i="7" l="1"/>
  <c r="F4" i="7"/>
  <c r="F5" i="7"/>
  <c r="F6" i="7"/>
  <c r="F7" i="7"/>
  <c r="F8" i="7"/>
  <c r="F9" i="7"/>
  <c r="F10" i="7"/>
  <c r="F11" i="7"/>
  <c r="F12" i="7"/>
  <c r="F13" i="7"/>
  <c r="L5" i="7" l="1"/>
  <c r="J5" i="7"/>
  <c r="B7" i="1" l="1"/>
  <c r="G6" i="1" l="1"/>
  <c r="G7" i="1"/>
  <c r="G8" i="1"/>
  <c r="G9" i="1"/>
  <c r="G10" i="1"/>
  <c r="G11" i="1"/>
  <c r="G12" i="1"/>
  <c r="G13" i="1"/>
  <c r="G14" i="1"/>
  <c r="G15" i="1"/>
  <c r="D6" i="1"/>
  <c r="D7" i="1"/>
  <c r="D8" i="1"/>
  <c r="D9" i="1"/>
  <c r="D10" i="1"/>
  <c r="D11" i="1"/>
  <c r="D12" i="1"/>
  <c r="D13" i="1"/>
  <c r="D14" i="1"/>
  <c r="D15" i="1"/>
  <c r="F6" i="9" l="1"/>
  <c r="F12" i="9"/>
  <c r="F13" i="9"/>
  <c r="F14" i="9"/>
  <c r="C6" i="9"/>
  <c r="F7" i="9"/>
  <c r="C8" i="9"/>
  <c r="F8" i="9" s="1"/>
  <c r="C9" i="9"/>
  <c r="F9" i="9" s="1"/>
  <c r="C10" i="9"/>
  <c r="F10" i="9" s="1"/>
  <c r="C11" i="9"/>
  <c r="F11" i="9" s="1"/>
  <c r="C12" i="9"/>
  <c r="C13" i="9"/>
  <c r="C14" i="9"/>
  <c r="C15" i="9"/>
  <c r="F15" i="9" s="1"/>
  <c r="C16" i="9"/>
  <c r="F16" i="9" s="1"/>
  <c r="H6" i="1" l="1"/>
  <c r="H7" i="1"/>
  <c r="H8" i="1"/>
  <c r="H9" i="1"/>
  <c r="H10" i="1"/>
  <c r="H11" i="1"/>
  <c r="H12" i="1"/>
  <c r="H13" i="1"/>
  <c r="H14" i="1"/>
  <c r="H15" i="1"/>
  <c r="G5" i="1" l="1"/>
  <c r="C5" i="9" l="1"/>
  <c r="F5" i="9" s="1"/>
  <c r="C4" i="9"/>
  <c r="F4" i="9" s="1"/>
  <c r="G4" i="1"/>
  <c r="M8" i="7" l="1"/>
  <c r="M9" i="7"/>
  <c r="M10" i="7"/>
  <c r="M11" i="7"/>
  <c r="M12" i="7"/>
  <c r="N12" i="7" s="1"/>
  <c r="M13" i="7"/>
  <c r="N13" i="7" s="1"/>
  <c r="N10" i="7"/>
  <c r="N11" i="7"/>
  <c r="N9" i="7" l="1"/>
  <c r="M5" i="7" l="1"/>
  <c r="M6" i="7"/>
  <c r="M7" i="7"/>
  <c r="N8" i="7" l="1"/>
  <c r="N7" i="7"/>
  <c r="N6" i="7"/>
  <c r="N5" i="7"/>
  <c r="M4" i="7"/>
  <c r="N4" i="7" s="1"/>
  <c r="M3" i="7"/>
  <c r="N3" i="7"/>
  <c r="M2" i="7"/>
  <c r="F2" i="7"/>
  <c r="M14" i="7" l="1"/>
  <c r="N2" i="7"/>
  <c r="D4" i="1" l="1"/>
  <c r="H4" i="1" s="1"/>
  <c r="D5" i="1"/>
  <c r="H5" i="1" s="1"/>
  <c r="F14" i="7" l="1"/>
  <c r="N14" i="7" s="1"/>
</calcChain>
</file>

<file path=xl/sharedStrings.xml><?xml version="1.0" encoding="utf-8"?>
<sst xmlns="http://schemas.openxmlformats.org/spreadsheetml/2006/main" count="74" uniqueCount="48">
  <si>
    <t>月份</t>
  </si>
  <si>
    <t>电费明细</t>
  </si>
  <si>
    <t>水费</t>
  </si>
  <si>
    <t>一次抄表</t>
  </si>
  <si>
    <t>二次抄表</t>
  </si>
  <si>
    <t>电费合计</t>
  </si>
  <si>
    <t>生活用水、排污费及污水处理费</t>
  </si>
  <si>
    <t>生活用水</t>
  </si>
  <si>
    <t>排污费及污水处理费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</si>
  <si>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</si>
  <si>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</si>
  <si>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</si>
  <si>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</si>
  <si>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</si>
  <si>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</si>
  <si>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</si>
  <si>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</si>
  <si>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</si>
  <si>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</si>
  <si>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</si>
  <si>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</si>
  <si>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总计</t>
  </si>
  <si>
    <t>用水度数</t>
  </si>
  <si>
    <t>用电度数（1）</t>
  </si>
  <si>
    <t>用电度数（2）</t>
  </si>
  <si>
    <t>总价/均价</t>
  </si>
  <si>
    <t>总燃气费</t>
  </si>
  <si>
    <t>公司空调      （表号FB0336301)用量</t>
  </si>
  <si>
    <t>总用量</t>
  </si>
  <si>
    <t>单价元/立方（优惠后）</t>
  </si>
  <si>
    <t>实际单价</t>
  </si>
  <si>
    <t>公司空调      （表号FB0336301)</t>
    <phoneticPr fontId="4" type="noConversion"/>
  </si>
  <si>
    <t>3楼食堂（表号FB0336304)</t>
    <phoneticPr fontId="4" type="noConversion"/>
  </si>
  <si>
    <t>抄表日期</t>
    <phoneticPr fontId="4" type="noConversion"/>
  </si>
  <si>
    <t>9.1日开始降价，有补退</t>
    <phoneticPr fontId="4" type="noConversion"/>
  </si>
  <si>
    <t>用量</t>
    <phoneticPr fontId="4" type="noConversion"/>
  </si>
  <si>
    <t>用量合计</t>
    <phoneticPr fontId="4" type="noConversion"/>
  </si>
  <si>
    <t>单价（元）</t>
    <phoneticPr fontId="4" type="noConversion"/>
  </si>
  <si>
    <t>单价</t>
    <phoneticPr fontId="4" type="noConversion"/>
  </si>
  <si>
    <t>2026年滨江新大楼电费明细</t>
    <phoneticPr fontId="4" type="noConversion"/>
  </si>
  <si>
    <t>水费明细</t>
    <phoneticPr fontId="4" type="noConversion"/>
  </si>
  <si>
    <t>水费明细</t>
    <phoneticPr fontId="4" type="noConversion"/>
  </si>
  <si>
    <t>3楼食堂（表号FB0336304)用量</t>
    <phoneticPr fontId="4" type="noConversion"/>
  </si>
  <si>
    <t>B1楼食堂蒸煮间（表号FB0336302)</t>
    <phoneticPr fontId="4" type="noConversion"/>
  </si>
  <si>
    <t>B1楼食堂蒸煮间（表号FB0336302)用量</t>
    <phoneticPr fontId="4" type="noConversion"/>
  </si>
  <si>
    <t>B1楼食堂灶台（表号FB0336303)用量</t>
    <phoneticPr fontId="4" type="noConversion"/>
  </si>
  <si>
    <t>B1楼食堂灶台（表号FB0336303)</t>
    <phoneticPr fontId="4" type="noConversion"/>
  </si>
  <si>
    <t>一月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</si>
</sst>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);[Red]\(0.00\)"/>
    <numFmt numFmtId="177" formatCode="0.00_ "/>
  </numFmts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6" fontId="0" fillId="3" borderId="2" xfId="0" applyNumberFormat="1" applyFon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2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3" xfId="0" applyBorder="1">
      <alignment vertical="center"/>
    </xf>
    <xf numFmtId="177" fontId="1" fillId="0" borderId="2" xfId="0" applyNumberFormat="1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 shrinkToFi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7" fontId="1" fillId="4" borderId="2" xfId="0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77" fontId="0" fillId="0" borderId="0" xfId="0" applyNumberFormat="1" applyFont="1" applyBorder="1" applyAlignment="1">
      <alignment horizontal="center" vertical="center"/>
    </xf>
    <xf numFmtId="177" fontId="0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177" fontId="0" fillId="5" borderId="2" xfId="0" applyNumberForma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7" fontId="1" fillId="0" borderId="2" xfId="0" applyNumberFormat="1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177" fontId="0" fillId="6" borderId="0" xfId="0" applyNumberFormat="1" applyFont="1" applyFill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76" fontId="5" fillId="3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 shrinkToFit="1"/>
    </xf>
    <xf numFmtId="177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7" fontId="1" fillId="0" borderId="0" xfId="0" applyNumberFormat="1" applyFont="1" applyBorder="1" applyAlignment="1">
      <alignment horizontal="center" vertical="center"/>
    </xf>
    <xf numFmtId="176" fontId="0" fillId="0" borderId="0" xfId="0" applyNumberFormat="1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77" fontId="0" fillId="3" borderId="2" xfId="0" applyNumberFormat="1" applyFill="1" applyBorder="1" applyAlignment="1">
      <alignment horizontal="center" vertical="center"/>
    </xf>
    <xf numFmtId="176" fontId="0" fillId="3" borderId="6" xfId="0" applyNumberFormat="1" applyFill="1" applyBorder="1" applyAlignment="1">
      <alignment horizontal="center" vertical="center"/>
    </xf>
    <xf numFmtId="176" fontId="0" fillId="4" borderId="2" xfId="0" applyNumberFormat="1" applyFont="1" applyFill="1" applyBorder="1" applyAlignment="1">
      <alignment horizontal="center" vertical="center"/>
    </xf>
    <xf numFmtId="176" fontId="1" fillId="4" borderId="2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77" fontId="0" fillId="4" borderId="2" xfId="0" applyNumberFormat="1" applyFill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5" fillId="4" borderId="6" xfId="0" applyNumberFormat="1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6" fontId="5" fillId="3" borderId="6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A1:M19"/>
  <sheetViews>
    <sheetView workbookViewId="0">
      <pane xSplit="1" ySplit="3" topLeftCell="B4" activePane="bottomRight" state="frozen"/>
      <selection pane="topRight" activeCell="D1" sqref="D1"/>
      <selection pane="bottomLeft" activeCell="A4" sqref="A4"/>
      <selection pane="bottomRight" activeCell="C8" sqref="C8"/>
    </sheetView>
  </sheetViews>
  <sheetFormatPr defaultColWidth="9" defaultRowHeight="13.5" x14ac:dyDescent="0.15"/>
  <cols>
    <col min="1" max="1" width="10.875" bestFit="1" customWidth="1"/>
    <col min="2" max="2" width="15.125" customWidth="1"/>
    <col min="3" max="3" width="25.5" customWidth="1"/>
    <col min="4" max="4" width="12.75" customWidth="1"/>
    <col min="5" max="5" width="19.25" bestFit="1" customWidth="1"/>
    <col min="6" max="6" width="14.375" style="2" customWidth="1"/>
  </cols>
  <sheetData>
    <row r="1" spans="1:13" ht="25.5" customHeight="1" x14ac:dyDescent="0.15">
      <c r="A1" s="56" t="s">
        <v>40</v>
      </c>
      <c r="B1" s="57"/>
      <c r="C1" s="57"/>
      <c r="D1" s="57"/>
      <c r="E1" s="57"/>
      <c r="F1" s="57"/>
    </row>
    <row r="2" spans="1:13" ht="22.5" customHeight="1" x14ac:dyDescent="0.15">
      <c r="A2" s="49" t="s">
        <v>0</v>
      </c>
      <c r="B2" s="50" t="s">
        <v>22</v>
      </c>
      <c r="C2" s="18" t="s">
        <v>2</v>
      </c>
      <c r="D2" s="52" t="s">
        <v>41</v>
      </c>
      <c r="E2" s="53"/>
      <c r="F2" s="54" t="s">
        <v>38</v>
      </c>
    </row>
    <row r="3" spans="1:13" ht="22.5" customHeight="1" x14ac:dyDescent="0.15">
      <c r="A3" s="49"/>
      <c r="B3" s="51"/>
      <c r="C3" s="48" t="s">
        <v>6</v>
      </c>
      <c r="D3" s="24" t="s">
        <v>7</v>
      </c>
      <c r="E3" s="24" t="s">
        <v>8</v>
      </c>
      <c r="F3" s="55"/>
      <c r="G3" s="8"/>
      <c r="H3" s="8"/>
      <c r="I3" s="8"/>
      <c r="J3" s="8"/>
      <c r="K3" s="8"/>
      <c r="L3" s="8"/>
      <c r="M3" s="9"/>
    </row>
    <row r="4" spans="1:13" ht="22.5" customHeight="1" x14ac:dyDescent="0.15">
      <c r="A4" s="22" t="s">
        <v>9</v>
      </c>
      <c r="B4" s="44">
        <v>2175</v>
      </c>
      <c r="C4" s="48">
        <f t="shared" ref="C4:C16" si="0">D4+E4</f>
        <v>10222.5</v>
      </c>
      <c r="D4" s="32">
        <v>5763.75</v>
      </c>
      <c r="E4" s="32">
        <v>4458.75</v>
      </c>
      <c r="F4" s="36">
        <f>C4/B4</f>
        <v>4.7</v>
      </c>
      <c r="G4" s="8"/>
      <c r="H4" s="8"/>
      <c r="I4" s="8"/>
      <c r="J4" s="8"/>
      <c r="K4" s="8"/>
      <c r="L4" s="8"/>
      <c r="M4" s="9"/>
    </row>
    <row r="5" spans="1:13" ht="22.5" customHeight="1" x14ac:dyDescent="0.15">
      <c r="A5" s="22" t="s">
        <v>10</v>
      </c>
      <c r="B5" s="44">
        <v>2440</v>
      </c>
      <c r="C5" s="48">
        <f t="shared" si="0"/>
        <v>11468</v>
      </c>
      <c r="D5" s="32">
        <v>6466</v>
      </c>
      <c r="E5" s="5">
        <v>5002</v>
      </c>
      <c r="F5" s="36">
        <f t="shared" ref="F5:F16" si="1">C5/B5</f>
        <v>4.7</v>
      </c>
    </row>
    <row r="6" spans="1:13" ht="22.5" customHeight="1" x14ac:dyDescent="0.15">
      <c r="A6" s="22" t="s">
        <v>11</v>
      </c>
      <c r="B6" s="44">
        <v>1446</v>
      </c>
      <c r="C6" s="48">
        <f t="shared" si="0"/>
        <v>6796.2000000000007</v>
      </c>
      <c r="D6" s="32">
        <v>3831.9</v>
      </c>
      <c r="E6" s="32">
        <v>2964.3</v>
      </c>
      <c r="F6" s="36">
        <f t="shared" si="1"/>
        <v>4.7</v>
      </c>
    </row>
    <row r="7" spans="1:13" ht="22.5" customHeight="1" x14ac:dyDescent="0.15">
      <c r="A7" s="22" t="s">
        <v>12</v>
      </c>
      <c r="B7" s="44">
        <v>2017</v>
      </c>
      <c r="C7" s="48">
        <v>9479.9</v>
      </c>
      <c r="D7" s="32">
        <v>5345.05</v>
      </c>
      <c r="E7" s="5">
        <v>4134.8500000000004</v>
      </c>
      <c r="F7" s="36">
        <f t="shared" si="1"/>
        <v>4.7</v>
      </c>
    </row>
    <row r="8" spans="1:13" ht="22.5" customHeight="1" x14ac:dyDescent="0.15">
      <c r="A8" s="22" t="s">
        <v>13</v>
      </c>
      <c r="B8" s="44"/>
      <c r="C8" s="48">
        <f t="shared" si="0"/>
        <v>0</v>
      </c>
      <c r="D8" s="32"/>
      <c r="E8" s="32"/>
      <c r="F8" s="36" t="e">
        <f t="shared" si="1"/>
        <v>#DIV/0!</v>
      </c>
    </row>
    <row r="9" spans="1:13" ht="22.5" customHeight="1" x14ac:dyDescent="0.15">
      <c r="A9" s="22" t="s">
        <v>14</v>
      </c>
      <c r="B9" s="44"/>
      <c r="C9" s="48">
        <f t="shared" si="0"/>
        <v>0</v>
      </c>
      <c r="D9" s="32"/>
      <c r="E9" s="5"/>
      <c r="F9" s="36" t="e">
        <f t="shared" si="1"/>
        <v>#DIV/0!</v>
      </c>
    </row>
    <row r="10" spans="1:13" ht="22.5" customHeight="1" x14ac:dyDescent="0.15">
      <c r="A10" s="22" t="s">
        <v>15</v>
      </c>
      <c r="B10" s="44"/>
      <c r="C10" s="48">
        <f t="shared" si="0"/>
        <v>0</v>
      </c>
      <c r="D10" s="32"/>
      <c r="E10" s="32"/>
      <c r="F10" s="36" t="e">
        <f t="shared" si="1"/>
        <v>#DIV/0!</v>
      </c>
    </row>
    <row r="11" spans="1:13" ht="22.5" customHeight="1" x14ac:dyDescent="0.15">
      <c r="A11" s="22" t="s">
        <v>16</v>
      </c>
      <c r="B11" s="44"/>
      <c r="C11" s="48">
        <f t="shared" si="0"/>
        <v>0</v>
      </c>
      <c r="D11" s="32"/>
      <c r="E11" s="5"/>
      <c r="F11" s="36" t="e">
        <f t="shared" si="1"/>
        <v>#DIV/0!</v>
      </c>
    </row>
    <row r="12" spans="1:13" ht="22.5" customHeight="1" x14ac:dyDescent="0.15">
      <c r="A12" s="22" t="s">
        <v>17</v>
      </c>
      <c r="B12" s="44"/>
      <c r="C12" s="48">
        <f t="shared" si="0"/>
        <v>0</v>
      </c>
      <c r="D12" s="32"/>
      <c r="E12" s="32"/>
      <c r="F12" s="36" t="e">
        <f t="shared" si="1"/>
        <v>#DIV/0!</v>
      </c>
    </row>
    <row r="13" spans="1:13" ht="22.5" customHeight="1" x14ac:dyDescent="0.15">
      <c r="A13" s="22" t="s">
        <v>18</v>
      </c>
      <c r="B13" s="44"/>
      <c r="C13" s="48">
        <f t="shared" si="0"/>
        <v>0</v>
      </c>
      <c r="D13" s="32"/>
      <c r="E13" s="5"/>
      <c r="F13" s="36" t="e">
        <f t="shared" si="1"/>
        <v>#DIV/0!</v>
      </c>
    </row>
    <row r="14" spans="1:13" ht="22.5" customHeight="1" x14ac:dyDescent="0.15">
      <c r="A14" s="22" t="s">
        <v>19</v>
      </c>
      <c r="B14" s="44"/>
      <c r="C14" s="48">
        <f t="shared" si="0"/>
        <v>0</v>
      </c>
      <c r="D14" s="32"/>
      <c r="E14" s="32"/>
      <c r="F14" s="36" t="e">
        <f t="shared" si="1"/>
        <v>#DIV/0!</v>
      </c>
    </row>
    <row r="15" spans="1:13" ht="22.5" customHeight="1" x14ac:dyDescent="0.15">
      <c r="A15" s="22" t="s">
        <v>20</v>
      </c>
      <c r="B15" s="44"/>
      <c r="C15" s="48">
        <f t="shared" si="0"/>
        <v>0</v>
      </c>
      <c r="D15" s="32"/>
      <c r="E15" s="5"/>
      <c r="F15" s="36" t="e">
        <f t="shared" si="1"/>
        <v>#DIV/0!</v>
      </c>
    </row>
    <row r="16" spans="1:13" s="1" customFormat="1" ht="23.25" customHeight="1" x14ac:dyDescent="0.15">
      <c r="A16" s="10" t="s">
        <v>25</v>
      </c>
      <c r="B16" s="43"/>
      <c r="C16" s="48">
        <f t="shared" si="0"/>
        <v>0</v>
      </c>
      <c r="D16" s="32"/>
      <c r="E16" s="32"/>
      <c r="F16" s="36" t="e">
        <f t="shared" si="1"/>
        <v>#DIV/0!</v>
      </c>
    </row>
    <row r="17" spans="5:6" x14ac:dyDescent="0.15">
      <c r="E17" s="2"/>
      <c r="F17"/>
    </row>
    <row r="18" spans="5:6" x14ac:dyDescent="0.15">
      <c r="E18" s="2"/>
      <c r="F18"/>
    </row>
    <row r="19" spans="5:6" x14ac:dyDescent="0.15">
      <c r="E19" s="2"/>
      <c r="F19"/>
    </row>
  </sheetData>
  <mergeCells count="5">
    <mergeCell ref="A2:A3"/>
    <mergeCell ref="B2:B3"/>
    <mergeCell ref="D2:E2"/>
    <mergeCell ref="F2:F3"/>
    <mergeCell ref="A1:F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A1:I18"/>
  <sheetViews>
    <sheetView workbookViewId="0">
      <pane ySplit="3" topLeftCell="A4" activePane="bottomLeft" state="frozen"/>
      <selection pane="bottomLeft" activeCell="D4" sqref="D4"/>
    </sheetView>
  </sheetViews>
  <sheetFormatPr defaultColWidth="9" defaultRowHeight="13.5" x14ac:dyDescent="0.15"/>
  <cols>
    <col min="1" max="1" width="7.25" customWidth="1"/>
    <col min="2" max="2" width="12.5" customWidth="1"/>
    <col min="3" max="3" width="12.125" customWidth="1"/>
    <col min="4" max="8" width="15.5" customWidth="1"/>
    <col min="9" max="9" width="10.5" bestFit="1" customWidth="1"/>
  </cols>
  <sheetData>
    <row r="1" spans="1:9" ht="21.75" customHeight="1" x14ac:dyDescent="0.15">
      <c r="A1" s="58" t="s">
        <v>39</v>
      </c>
      <c r="B1" s="59"/>
      <c r="C1" s="59"/>
      <c r="D1" s="59"/>
      <c r="E1" s="59"/>
      <c r="F1" s="59"/>
      <c r="G1" s="59"/>
      <c r="H1" s="59"/>
    </row>
    <row r="2" spans="1:9" ht="20.25" customHeight="1" x14ac:dyDescent="0.15">
      <c r="A2" s="49" t="s">
        <v>0</v>
      </c>
      <c r="B2" s="64" t="s">
        <v>1</v>
      </c>
      <c r="C2" s="65"/>
      <c r="D2" s="67" t="s">
        <v>5</v>
      </c>
      <c r="E2" s="69" t="s">
        <v>35</v>
      </c>
      <c r="F2" s="70"/>
      <c r="G2" s="60" t="s">
        <v>36</v>
      </c>
      <c r="H2" s="62" t="s">
        <v>37</v>
      </c>
    </row>
    <row r="3" spans="1:9" ht="22.5" customHeight="1" x14ac:dyDescent="0.15">
      <c r="A3" s="49"/>
      <c r="B3" s="40" t="s">
        <v>3</v>
      </c>
      <c r="C3" s="40" t="s">
        <v>4</v>
      </c>
      <c r="D3" s="68"/>
      <c r="E3" s="41" t="s">
        <v>23</v>
      </c>
      <c r="F3" s="41" t="s">
        <v>24</v>
      </c>
      <c r="G3" s="61"/>
      <c r="H3" s="63"/>
    </row>
    <row r="4" spans="1:9" ht="24" customHeight="1" x14ac:dyDescent="0.15">
      <c r="A4" s="22" t="s">
        <v>9</v>
      </c>
      <c r="B4" s="4">
        <v>130493.65</v>
      </c>
      <c r="C4" s="4">
        <v>109177</v>
      </c>
      <c r="D4" s="44">
        <f t="shared" ref="D4:D15" si="0">B4+C4</f>
        <v>239670.65</v>
      </c>
      <c r="E4" s="39">
        <v>181720</v>
      </c>
      <c r="F4" s="39">
        <v>154400</v>
      </c>
      <c r="G4" s="44">
        <f>E4+F4</f>
        <v>336120</v>
      </c>
      <c r="H4" s="3">
        <f>D4/G4</f>
        <v>0.7130508449363322</v>
      </c>
    </row>
    <row r="5" spans="1:9" ht="24" customHeight="1" x14ac:dyDescent="0.15">
      <c r="A5" s="22" t="s">
        <v>10</v>
      </c>
      <c r="B5" s="4">
        <v>122103.69</v>
      </c>
      <c r="C5" s="4">
        <v>111522.99</v>
      </c>
      <c r="D5" s="44">
        <f t="shared" si="0"/>
        <v>233626.68</v>
      </c>
      <c r="E5" s="39">
        <v>192840</v>
      </c>
      <c r="F5" s="39">
        <v>160360</v>
      </c>
      <c r="G5" s="44">
        <f>E5+F5</f>
        <v>353200</v>
      </c>
      <c r="H5" s="3">
        <f t="shared" ref="H5:H15" si="1">D5/G5</f>
        <v>0.66145719139297843</v>
      </c>
    </row>
    <row r="6" spans="1:9" ht="24" customHeight="1" x14ac:dyDescent="0.15">
      <c r="A6" s="22" t="s">
        <v>11</v>
      </c>
      <c r="B6" s="4">
        <v>72349.63</v>
      </c>
      <c r="C6" s="4">
        <v>96400.44</v>
      </c>
      <c r="D6" s="44">
        <f t="shared" si="0"/>
        <v>168750.07</v>
      </c>
      <c r="E6" s="39">
        <v>110480</v>
      </c>
      <c r="F6" s="39">
        <v>141400</v>
      </c>
      <c r="G6" s="44">
        <f t="shared" ref="G6:G15" si="2">E6+F6</f>
        <v>251880</v>
      </c>
      <c r="H6" s="3">
        <f t="shared" si="1"/>
        <v>0.66996216452278867</v>
      </c>
    </row>
    <row r="7" spans="1:9" ht="27.75" customHeight="1" x14ac:dyDescent="0.15">
      <c r="A7" s="22" t="s">
        <v>12</v>
      </c>
      <c r="B7" s="4">
        <f>99905.67+4624.28</f>
        <v>104529.95</v>
      </c>
      <c r="C7" s="4">
        <v>84018.76</v>
      </c>
      <c r="D7" s="44">
        <f t="shared" si="0"/>
        <v>188548.71</v>
      </c>
      <c r="E7" s="39">
        <v>158160</v>
      </c>
      <c r="F7" s="39">
        <v>119800</v>
      </c>
      <c r="G7" s="44">
        <f t="shared" si="2"/>
        <v>277960</v>
      </c>
      <c r="H7" s="3">
        <f t="shared" si="1"/>
        <v>0.67833037127644258</v>
      </c>
    </row>
    <row r="8" spans="1:9" ht="27.75" customHeight="1" x14ac:dyDescent="0.15">
      <c r="A8" s="22" t="s">
        <v>13</v>
      </c>
      <c r="B8" s="4"/>
      <c r="C8" s="4"/>
      <c r="D8" s="44">
        <f t="shared" si="0"/>
        <v>0</v>
      </c>
      <c r="E8" s="39"/>
      <c r="F8" s="39"/>
      <c r="G8" s="44">
        <f t="shared" si="2"/>
        <v>0</v>
      </c>
      <c r="H8" s="3" t="e">
        <f t="shared" si="1"/>
        <v>#DIV/0!</v>
      </c>
    </row>
    <row r="9" spans="1:9" ht="27.95" customHeight="1" x14ac:dyDescent="0.15">
      <c r="A9" s="22" t="s">
        <v>14</v>
      </c>
      <c r="B9" s="4"/>
      <c r="C9" s="4"/>
      <c r="D9" s="44">
        <f t="shared" si="0"/>
        <v>0</v>
      </c>
      <c r="E9" s="39"/>
      <c r="F9" s="39"/>
      <c r="G9" s="44">
        <f t="shared" si="2"/>
        <v>0</v>
      </c>
      <c r="H9" s="3" t="e">
        <f t="shared" si="1"/>
        <v>#DIV/0!</v>
      </c>
      <c r="I9" s="11"/>
    </row>
    <row r="10" spans="1:9" ht="27.95" customHeight="1" x14ac:dyDescent="0.15">
      <c r="A10" s="22" t="s">
        <v>15</v>
      </c>
      <c r="B10" s="4"/>
      <c r="C10" s="4"/>
      <c r="D10" s="44">
        <f t="shared" si="0"/>
        <v>0</v>
      </c>
      <c r="E10" s="39"/>
      <c r="F10" s="39"/>
      <c r="G10" s="44">
        <f t="shared" si="2"/>
        <v>0</v>
      </c>
      <c r="H10" s="3" t="e">
        <f t="shared" si="1"/>
        <v>#DIV/0!</v>
      </c>
    </row>
    <row r="11" spans="1:9" ht="27.95" customHeight="1" x14ac:dyDescent="0.15">
      <c r="A11" s="22" t="s">
        <v>16</v>
      </c>
      <c r="B11" s="4"/>
      <c r="C11" s="4"/>
      <c r="D11" s="44">
        <f t="shared" si="0"/>
        <v>0</v>
      </c>
      <c r="E11" s="39"/>
      <c r="F11" s="39"/>
      <c r="G11" s="44">
        <f t="shared" si="2"/>
        <v>0</v>
      </c>
      <c r="H11" s="3" t="e">
        <f t="shared" si="1"/>
        <v>#DIV/0!</v>
      </c>
    </row>
    <row r="12" spans="1:9" ht="27.95" customHeight="1" x14ac:dyDescent="0.15">
      <c r="A12" s="22" t="s">
        <v>17</v>
      </c>
      <c r="B12" s="4"/>
      <c r="C12" s="4"/>
      <c r="D12" s="44">
        <f t="shared" si="0"/>
        <v>0</v>
      </c>
      <c r="E12" s="39"/>
      <c r="F12" s="39"/>
      <c r="G12" s="44">
        <f t="shared" si="2"/>
        <v>0</v>
      </c>
      <c r="H12" s="3" t="e">
        <f t="shared" si="1"/>
        <v>#DIV/0!</v>
      </c>
    </row>
    <row r="13" spans="1:9" ht="24" customHeight="1" x14ac:dyDescent="0.15">
      <c r="A13" s="22" t="s">
        <v>18</v>
      </c>
      <c r="B13" s="4"/>
      <c r="C13" s="4"/>
      <c r="D13" s="44">
        <f t="shared" si="0"/>
        <v>0</v>
      </c>
      <c r="E13" s="39"/>
      <c r="F13" s="39"/>
      <c r="G13" s="44">
        <f t="shared" si="2"/>
        <v>0</v>
      </c>
      <c r="H13" s="3" t="e">
        <f t="shared" si="1"/>
        <v>#DIV/0!</v>
      </c>
    </row>
    <row r="14" spans="1:9" ht="24" customHeight="1" x14ac:dyDescent="0.15">
      <c r="A14" s="22" t="s">
        <v>19</v>
      </c>
      <c r="B14" s="4"/>
      <c r="C14" s="4"/>
      <c r="D14" s="44">
        <f t="shared" si="0"/>
        <v>0</v>
      </c>
      <c r="E14" s="39"/>
      <c r="F14" s="39"/>
      <c r="G14" s="44">
        <f t="shared" si="2"/>
        <v>0</v>
      </c>
      <c r="H14" s="3" t="e">
        <f t="shared" si="1"/>
        <v>#DIV/0!</v>
      </c>
    </row>
    <row r="15" spans="1:9" ht="24" customHeight="1" x14ac:dyDescent="0.15">
      <c r="A15" s="22" t="s">
        <v>20</v>
      </c>
      <c r="B15" s="4"/>
      <c r="C15" s="4"/>
      <c r="D15" s="44">
        <f t="shared" si="0"/>
        <v>0</v>
      </c>
      <c r="E15" s="39"/>
      <c r="F15" s="39"/>
      <c r="G15" s="44">
        <f t="shared" si="2"/>
        <v>0</v>
      </c>
      <c r="H15" s="3" t="e">
        <f t="shared" si="1"/>
        <v>#DIV/0!</v>
      </c>
    </row>
    <row r="16" spans="1:9" s="1" customFormat="1" ht="27.75" customHeight="1" x14ac:dyDescent="0.15">
      <c r="A16" s="10" t="s">
        <v>21</v>
      </c>
      <c r="B16" s="66"/>
      <c r="C16" s="66"/>
      <c r="D16" s="45"/>
      <c r="E16" s="6"/>
      <c r="F16" s="6"/>
      <c r="G16" s="45"/>
      <c r="H16" s="6"/>
    </row>
    <row r="17" spans="1:8" ht="23.25" customHeight="1" x14ac:dyDescent="0.15"/>
    <row r="18" spans="1:8" ht="32.25" customHeight="1" x14ac:dyDescent="0.15">
      <c r="A18" s="26"/>
      <c r="B18" s="27"/>
      <c r="C18" s="27"/>
      <c r="D18" s="25"/>
      <c r="E18" s="35"/>
      <c r="F18" s="35"/>
      <c r="G18" s="35"/>
      <c r="H18" s="35"/>
    </row>
  </sheetData>
  <mergeCells count="8">
    <mergeCell ref="A1:H1"/>
    <mergeCell ref="G2:G3"/>
    <mergeCell ref="H2:H3"/>
    <mergeCell ref="B2:C2"/>
    <mergeCell ref="B16:C16"/>
    <mergeCell ref="A2:A3"/>
    <mergeCell ref="D2:D3"/>
    <mergeCell ref="E2:F2"/>
  </mergeCells>
  <phoneticPr fontId="4" type="noConversion"/>
  <pageMargins left="0.70866141732283505" right="0.70866141732283505" top="0.74803149606299202" bottom="0.74803149606299202" header="0.31496062992126" footer="0.31496062992126"/>
  <pageSetup paperSize="9" orientation="landscape" horizontalDpi="2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A1:XFC1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M4" sqref="M4"/>
    </sheetView>
  </sheetViews>
  <sheetFormatPr defaultColWidth="9" defaultRowHeight="13.5" x14ac:dyDescent="0.15"/>
  <cols>
    <col min="1" max="1" width="8.875" style="12" customWidth="1"/>
    <col min="2" max="2" width="13.75" style="12" customWidth="1"/>
    <col min="3" max="3" width="12.25" style="12" customWidth="1"/>
    <col min="4" max="4" width="11.75" style="12" customWidth="1"/>
    <col min="5" max="5" width="11.375" style="12" customWidth="1"/>
    <col min="6" max="6" width="12.375" style="12" customWidth="1"/>
    <col min="7" max="7" width="13.625" style="12" customWidth="1"/>
    <col min="8" max="8" width="1.625" style="12" customWidth="1"/>
    <col min="9" max="9" width="11.25" style="12" customWidth="1"/>
    <col min="10" max="10" width="11.5" style="12" customWidth="1"/>
    <col min="11" max="11" width="11.875" style="12" customWidth="1"/>
    <col min="12" max="13" width="11.375" style="12" customWidth="1"/>
    <col min="14" max="14" width="9.625" style="12" customWidth="1"/>
    <col min="15" max="15" width="9" style="13"/>
    <col min="16" max="16" width="24" style="12" customWidth="1"/>
    <col min="17" max="16383" width="9" style="12"/>
  </cols>
  <sheetData>
    <row r="1" spans="1:16" ht="65.25" customHeight="1" x14ac:dyDescent="0.15">
      <c r="A1" s="10" t="s">
        <v>0</v>
      </c>
      <c r="B1" s="14" t="s">
        <v>31</v>
      </c>
      <c r="C1" s="14" t="s">
        <v>43</v>
      </c>
      <c r="D1" s="15" t="s">
        <v>46</v>
      </c>
      <c r="E1" s="14" t="s">
        <v>32</v>
      </c>
      <c r="F1" s="18" t="s">
        <v>26</v>
      </c>
      <c r="G1" s="16" t="s">
        <v>33</v>
      </c>
      <c r="H1" s="17"/>
      <c r="I1" s="14" t="s">
        <v>27</v>
      </c>
      <c r="J1" s="14" t="s">
        <v>44</v>
      </c>
      <c r="K1" s="15" t="s">
        <v>45</v>
      </c>
      <c r="L1" s="14" t="s">
        <v>42</v>
      </c>
      <c r="M1" s="47" t="s">
        <v>28</v>
      </c>
      <c r="N1" s="23" t="s">
        <v>29</v>
      </c>
      <c r="O1" s="28" t="s">
        <v>30</v>
      </c>
    </row>
    <row r="2" spans="1:16" ht="29.25" customHeight="1" x14ac:dyDescent="0.15">
      <c r="A2" s="18" t="s">
        <v>47</v>
      </c>
      <c r="B2" s="7">
        <v>98792.85</v>
      </c>
      <c r="C2" s="7">
        <v>4584.32</v>
      </c>
      <c r="D2" s="7">
        <v>11977.29</v>
      </c>
      <c r="E2" s="7">
        <v>1873.69</v>
      </c>
      <c r="F2" s="42">
        <f t="shared" ref="F2:F13" si="0">B2+D2+C2+E2</f>
        <v>117228.15000000002</v>
      </c>
      <c r="G2" s="31">
        <v>46037</v>
      </c>
      <c r="H2" s="20"/>
      <c r="I2" s="19">
        <v>26205</v>
      </c>
      <c r="J2" s="19">
        <v>1216</v>
      </c>
      <c r="K2" s="19">
        <v>3177</v>
      </c>
      <c r="L2" s="19">
        <v>497</v>
      </c>
      <c r="M2" s="46">
        <f t="shared" ref="M2:M4" si="1">I2+K2+J2+L2</f>
        <v>31095</v>
      </c>
      <c r="N2" s="30">
        <f t="shared" ref="N2:N7" si="2">F2/M2</f>
        <v>3.7700000000000009</v>
      </c>
      <c r="O2" s="13">
        <v>3.77</v>
      </c>
    </row>
    <row r="3" spans="1:16" ht="29.25" customHeight="1" x14ac:dyDescent="0.15">
      <c r="A3" s="10" t="s">
        <v>10</v>
      </c>
      <c r="B3" s="7">
        <v>137178.99</v>
      </c>
      <c r="C3" s="7">
        <v>3754.92</v>
      </c>
      <c r="D3" s="7">
        <v>10480.6</v>
      </c>
      <c r="E3" s="7">
        <v>1790.75</v>
      </c>
      <c r="F3" s="42">
        <f t="shared" si="0"/>
        <v>153205.26</v>
      </c>
      <c r="G3" s="31">
        <v>46077</v>
      </c>
      <c r="H3" s="20"/>
      <c r="I3" s="19">
        <v>36387</v>
      </c>
      <c r="J3" s="19">
        <v>996</v>
      </c>
      <c r="K3" s="19">
        <v>2780</v>
      </c>
      <c r="L3" s="19">
        <v>475</v>
      </c>
      <c r="M3" s="46">
        <f t="shared" si="1"/>
        <v>40638</v>
      </c>
      <c r="N3" s="34">
        <f t="shared" si="2"/>
        <v>3.77</v>
      </c>
      <c r="O3" s="13">
        <v>3.77</v>
      </c>
    </row>
    <row r="4" spans="1:16" ht="29.25" customHeight="1" x14ac:dyDescent="0.15">
      <c r="A4" s="10" t="s">
        <v>11</v>
      </c>
      <c r="B4" s="7">
        <v>43860.18</v>
      </c>
      <c r="C4" s="7">
        <v>2605.0700000000002</v>
      </c>
      <c r="D4" s="7">
        <v>6804.85</v>
      </c>
      <c r="E4" s="7">
        <v>1428.83</v>
      </c>
      <c r="F4" s="42">
        <f t="shared" si="0"/>
        <v>54698.93</v>
      </c>
      <c r="G4" s="31">
        <v>46098</v>
      </c>
      <c r="H4" s="20"/>
      <c r="I4" s="19">
        <v>11634</v>
      </c>
      <c r="J4" s="19">
        <v>691</v>
      </c>
      <c r="K4" s="19">
        <v>1805</v>
      </c>
      <c r="L4" s="19">
        <v>379</v>
      </c>
      <c r="M4" s="46">
        <f t="shared" si="1"/>
        <v>14509</v>
      </c>
      <c r="N4" s="34">
        <f t="shared" si="2"/>
        <v>3.77</v>
      </c>
      <c r="O4" s="13">
        <v>3.77</v>
      </c>
    </row>
    <row r="5" spans="1:16" ht="29.25" customHeight="1" x14ac:dyDescent="0.15">
      <c r="A5" s="10" t="s">
        <v>12</v>
      </c>
      <c r="B5" s="7">
        <v>0</v>
      </c>
      <c r="C5" s="7">
        <v>5587.14</v>
      </c>
      <c r="D5" s="7">
        <v>18.850000000000001</v>
      </c>
      <c r="E5" s="7">
        <v>7185.62</v>
      </c>
      <c r="F5" s="42">
        <f t="shared" si="0"/>
        <v>12791.61</v>
      </c>
      <c r="G5" s="31">
        <v>46132</v>
      </c>
      <c r="H5" s="20"/>
      <c r="I5" s="19">
        <v>0</v>
      </c>
      <c r="J5" s="19">
        <f>590+892</f>
        <v>1482</v>
      </c>
      <c r="K5" s="19">
        <v>5</v>
      </c>
      <c r="L5" s="19">
        <f>785+1121</f>
        <v>1906</v>
      </c>
      <c r="M5" s="46">
        <f t="shared" ref="M5:M8" si="3">I5+K5+J5+L5</f>
        <v>3393</v>
      </c>
      <c r="N5" s="34">
        <f t="shared" si="2"/>
        <v>3.77</v>
      </c>
      <c r="O5" s="13">
        <v>3.77</v>
      </c>
      <c r="P5" s="71"/>
    </row>
    <row r="6" spans="1:16" ht="29.25" customHeight="1" x14ac:dyDescent="0.15">
      <c r="A6" s="10" t="s">
        <v>13</v>
      </c>
      <c r="B6" s="7"/>
      <c r="C6" s="7"/>
      <c r="D6" s="7"/>
      <c r="E6" s="7"/>
      <c r="F6" s="42">
        <f t="shared" si="0"/>
        <v>0</v>
      </c>
      <c r="G6" s="31"/>
      <c r="H6" s="21"/>
      <c r="I6" s="19"/>
      <c r="J6" s="19"/>
      <c r="K6" s="19"/>
      <c r="L6" s="19"/>
      <c r="M6" s="46">
        <f t="shared" si="3"/>
        <v>0</v>
      </c>
      <c r="N6" s="34" t="e">
        <f t="shared" si="2"/>
        <v>#DIV/0!</v>
      </c>
      <c r="O6" s="13">
        <v>3.77</v>
      </c>
      <c r="P6" s="71"/>
    </row>
    <row r="7" spans="1:16" ht="29.25" customHeight="1" x14ac:dyDescent="0.15">
      <c r="A7" s="10" t="s">
        <v>14</v>
      </c>
      <c r="B7" s="7"/>
      <c r="C7" s="7"/>
      <c r="D7" s="7"/>
      <c r="E7" s="7"/>
      <c r="F7" s="42">
        <f t="shared" si="0"/>
        <v>0</v>
      </c>
      <c r="G7" s="31"/>
      <c r="H7" s="21"/>
      <c r="I7" s="19"/>
      <c r="J7" s="19"/>
      <c r="K7" s="19"/>
      <c r="L7" s="19"/>
      <c r="M7" s="46">
        <f t="shared" si="3"/>
        <v>0</v>
      </c>
      <c r="N7" s="34" t="e">
        <f t="shared" si="2"/>
        <v>#DIV/0!</v>
      </c>
      <c r="O7" s="13">
        <v>3.77</v>
      </c>
      <c r="P7" s="71"/>
    </row>
    <row r="8" spans="1:16" ht="29.25" customHeight="1" x14ac:dyDescent="0.15">
      <c r="A8" s="29" t="s">
        <v>15</v>
      </c>
      <c r="B8" s="7"/>
      <c r="C8" s="7"/>
      <c r="D8" s="7"/>
      <c r="E8" s="7"/>
      <c r="F8" s="42">
        <f t="shared" si="0"/>
        <v>0</v>
      </c>
      <c r="G8" s="31"/>
      <c r="H8" s="21"/>
      <c r="I8" s="19"/>
      <c r="J8" s="19"/>
      <c r="K8" s="19"/>
      <c r="L8" s="19"/>
      <c r="M8" s="46">
        <f t="shared" si="3"/>
        <v>0</v>
      </c>
      <c r="N8" s="34" t="e">
        <f t="shared" ref="N8:N14" si="4">F8/M8</f>
        <v>#DIV/0!</v>
      </c>
      <c r="O8" s="13">
        <v>3.77</v>
      </c>
      <c r="P8" s="71"/>
    </row>
    <row r="9" spans="1:16" ht="29.25" customHeight="1" x14ac:dyDescent="0.15">
      <c r="A9" s="10" t="s">
        <v>16</v>
      </c>
      <c r="B9" s="7"/>
      <c r="C9" s="7"/>
      <c r="D9" s="7"/>
      <c r="E9" s="7"/>
      <c r="F9" s="42">
        <f t="shared" si="0"/>
        <v>0</v>
      </c>
      <c r="G9" s="31"/>
      <c r="H9" s="21"/>
      <c r="I9" s="19"/>
      <c r="J9" s="19"/>
      <c r="K9" s="19"/>
      <c r="L9" s="19"/>
      <c r="M9" s="46">
        <f t="shared" ref="M9:M13" si="5">I9+K9+J9+L9</f>
        <v>0</v>
      </c>
      <c r="N9" s="34" t="e">
        <f t="shared" si="4"/>
        <v>#DIV/0!</v>
      </c>
      <c r="O9" s="13">
        <v>3.77</v>
      </c>
    </row>
    <row r="10" spans="1:16" ht="29.25" customHeight="1" x14ac:dyDescent="0.15">
      <c r="A10" s="10" t="s">
        <v>17</v>
      </c>
      <c r="B10" s="7"/>
      <c r="C10" s="7"/>
      <c r="D10" s="7"/>
      <c r="E10" s="7"/>
      <c r="F10" s="42">
        <f t="shared" si="0"/>
        <v>0</v>
      </c>
      <c r="G10" s="31"/>
      <c r="H10" s="21"/>
      <c r="I10" s="19"/>
      <c r="J10" s="19"/>
      <c r="K10" s="19"/>
      <c r="L10" s="19"/>
      <c r="M10" s="46">
        <f t="shared" si="5"/>
        <v>0</v>
      </c>
      <c r="N10" s="34" t="e">
        <f t="shared" si="4"/>
        <v>#DIV/0!</v>
      </c>
      <c r="O10" s="13">
        <v>3.77</v>
      </c>
    </row>
    <row r="11" spans="1:16" ht="29.25" customHeight="1" x14ac:dyDescent="0.15">
      <c r="A11" s="10" t="s">
        <v>18</v>
      </c>
      <c r="B11" s="7"/>
      <c r="C11" s="7"/>
      <c r="D11" s="7"/>
      <c r="E11" s="7"/>
      <c r="F11" s="42">
        <f t="shared" si="0"/>
        <v>0</v>
      </c>
      <c r="G11" s="31"/>
      <c r="H11" s="21"/>
      <c r="I11" s="19"/>
      <c r="J11" s="19"/>
      <c r="K11" s="19"/>
      <c r="L11" s="19"/>
      <c r="M11" s="46">
        <f t="shared" si="5"/>
        <v>0</v>
      </c>
      <c r="N11" s="34" t="e">
        <f t="shared" si="4"/>
        <v>#DIV/0!</v>
      </c>
      <c r="O11" s="13">
        <v>3.77</v>
      </c>
      <c r="P11" s="33" t="s">
        <v>34</v>
      </c>
    </row>
    <row r="12" spans="1:16" ht="29.25" customHeight="1" x14ac:dyDescent="0.15">
      <c r="A12" s="10" t="s">
        <v>19</v>
      </c>
      <c r="B12" s="7"/>
      <c r="C12" s="7"/>
      <c r="D12" s="7"/>
      <c r="E12" s="7"/>
      <c r="F12" s="42">
        <f t="shared" si="0"/>
        <v>0</v>
      </c>
      <c r="G12" s="31"/>
      <c r="H12" s="21"/>
      <c r="I12" s="19"/>
      <c r="J12" s="19"/>
      <c r="K12" s="19"/>
      <c r="L12" s="19"/>
      <c r="M12" s="46">
        <f t="shared" si="5"/>
        <v>0</v>
      </c>
      <c r="N12" s="34" t="e">
        <f t="shared" si="4"/>
        <v>#DIV/0!</v>
      </c>
      <c r="O12" s="13">
        <v>3.77</v>
      </c>
    </row>
    <row r="13" spans="1:16" ht="29.25" customHeight="1" x14ac:dyDescent="0.15">
      <c r="A13" s="34" t="s">
        <v>20</v>
      </c>
      <c r="B13" s="7"/>
      <c r="C13" s="7"/>
      <c r="D13" s="7"/>
      <c r="E13" s="7"/>
      <c r="F13" s="42">
        <f t="shared" si="0"/>
        <v>0</v>
      </c>
      <c r="G13" s="31"/>
      <c r="H13" s="20"/>
      <c r="I13" s="19"/>
      <c r="J13" s="19"/>
      <c r="K13" s="19"/>
      <c r="L13" s="19"/>
      <c r="M13" s="46">
        <f t="shared" si="5"/>
        <v>0</v>
      </c>
      <c r="N13" s="34" t="e">
        <f t="shared" si="4"/>
        <v>#DIV/0!</v>
      </c>
    </row>
    <row r="14" spans="1:16" ht="29.25" customHeight="1" x14ac:dyDescent="0.15">
      <c r="A14" s="34" t="s">
        <v>21</v>
      </c>
      <c r="B14" s="7"/>
      <c r="C14" s="7"/>
      <c r="D14" s="7"/>
      <c r="E14" s="7"/>
      <c r="F14" s="43">
        <f>SUM(F2:F13)</f>
        <v>337923.95</v>
      </c>
      <c r="G14" s="19"/>
      <c r="H14" s="20"/>
      <c r="I14" s="19"/>
      <c r="J14" s="19"/>
      <c r="K14" s="19"/>
      <c r="L14" s="19"/>
      <c r="M14" s="46">
        <f>SUM(M2:M13)</f>
        <v>89635</v>
      </c>
      <c r="N14" s="34">
        <f t="shared" si="4"/>
        <v>3.77</v>
      </c>
    </row>
    <row r="15" spans="1:16" ht="29.25" customHeight="1" x14ac:dyDescent="0.15">
      <c r="A15" s="37"/>
      <c r="B15" s="38"/>
      <c r="C15" s="38"/>
      <c r="D15" s="38"/>
      <c r="E15" s="38"/>
      <c r="F15" s="38"/>
      <c r="G15" s="20"/>
      <c r="H15" s="20"/>
      <c r="I15" s="20"/>
      <c r="J15" s="20"/>
      <c r="K15" s="20"/>
      <c r="L15" s="20"/>
      <c r="M15" s="20"/>
      <c r="N15" s="21"/>
    </row>
    <row r="16" spans="1:16" x14ac:dyDescent="0.15">
      <c r="A16" s="20"/>
      <c r="B16" s="20"/>
      <c r="C16" s="20"/>
      <c r="D16" s="20"/>
      <c r="E16" s="20"/>
      <c r="F16" s="20"/>
      <c r="G16" s="20"/>
      <c r="H16" s="20"/>
    </row>
    <row r="17" spans="1:8" x14ac:dyDescent="0.15">
      <c r="A17" s="20"/>
      <c r="B17" s="20"/>
      <c r="C17" s="20"/>
      <c r="D17" s="20"/>
      <c r="E17" s="20"/>
      <c r="F17" s="20"/>
      <c r="G17" s="20"/>
      <c r="H17" s="20"/>
    </row>
    <row r="18" spans="1:8" x14ac:dyDescent="0.15">
      <c r="A18" s="20"/>
      <c r="B18" s="20"/>
      <c r="C18" s="20"/>
      <c r="D18" s="20"/>
      <c r="E18" s="20"/>
      <c r="F18" s="20"/>
      <c r="G18" s="20"/>
      <c r="H18" s="20"/>
    </row>
    <row r="19" spans="1:8" x14ac:dyDescent="0.15">
      <c r="A19" s="20"/>
      <c r="B19" s="20"/>
      <c r="C19" s="20"/>
      <c r="D19" s="20"/>
      <c r="E19" s="20"/>
      <c r="F19" s="20"/>
      <c r="G19" s="20"/>
      <c r="H19" s="20"/>
    </row>
  </sheetData>
  <mergeCells count="1">
    <mergeCell ref="P5:P8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水费</vt:lpstr>
      <vt:lpstr>电费</vt:lpstr>
      <vt:lpstr>燃气费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张建敏</cp:lastModifiedBy>
  <dcterms:created xsi:type="dcterms:W3CDTF">2006-09-13T11:21:00Z</dcterms:created>
  <dcterms:modified xsi:type="dcterms:W3CDTF">2026-04-29T05:56:50Z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48A6B5DFE8E840BBB96A22D221257C4D</vt:lpwstr>
  </property>
  <property fmtid="{D5CDD505-2E9C-101B-9397-08002B2CF9AE}" pid="3" name="KSOProductBuildVer">
    <vt:lpwstr>2052-11.1.0.14309</vt:lpwstr>
  </property>
</Properties>
</file>